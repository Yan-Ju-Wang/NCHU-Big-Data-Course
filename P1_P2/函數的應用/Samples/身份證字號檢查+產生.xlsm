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_108\108送餐\"/>
    </mc:Choice>
  </mc:AlternateContent>
  <xr:revisionPtr revIDLastSave="0" documentId="8_{76153E8A-3910-457F-AD11-DCFFBCC092C4}" xr6:coauthVersionLast="43" xr6:coauthVersionMax="43" xr10:uidLastSave="{00000000-0000-0000-0000-000000000000}"/>
  <bookViews>
    <workbookView xWindow="-120" yWindow="-120" windowWidth="20730" windowHeight="11160" tabRatio="346" activeTab="1"/>
  </bookViews>
  <sheets>
    <sheet name="檢查" sheetId="1" r:id="rId1"/>
    <sheet name="資料清單" sheetId="3" r:id="rId2"/>
    <sheet name="對照資料" sheetId="2" r:id="rId3"/>
  </sheets>
  <definedNames>
    <definedName name="CITYID">對照資料!$A$2:$C$27</definedName>
    <definedName name="ID">資料清單!$B$2:$B$45</definedName>
    <definedName name="NAME">資料清單!$A$2:$A$45</definedName>
    <definedName name="NMAE">資料清單!$A$2:$A$45</definedName>
  </definedNames>
  <calcPr calcId="181029" iterate="1"/>
</workbook>
</file>

<file path=xl/calcChain.xml><?xml version="1.0" encoding="utf-8"?>
<calcChain xmlns="http://schemas.openxmlformats.org/spreadsheetml/2006/main">
  <c r="C10" i="1" l="1"/>
  <c r="D11" i="1" s="1"/>
  <c r="D12" i="1" s="1"/>
  <c r="B2" i="1"/>
  <c r="L3" i="1" s="1"/>
  <c r="E10" i="1"/>
  <c r="E12" i="1" s="1"/>
  <c r="F10" i="1"/>
  <c r="F12" i="1" s="1"/>
  <c r="G10" i="1"/>
  <c r="G12" i="1" s="1"/>
  <c r="H10" i="1"/>
  <c r="H12" i="1" s="1"/>
  <c r="I10" i="1"/>
  <c r="I12" i="1" s="1"/>
  <c r="J10" i="1"/>
  <c r="J12" i="1" s="1"/>
  <c r="K10" i="1"/>
  <c r="K12" i="1" s="1"/>
  <c r="L10" i="1"/>
  <c r="L12" i="1" s="1"/>
  <c r="G3" i="1" l="1"/>
  <c r="G2" i="1" s="1"/>
  <c r="G4" i="1" s="1"/>
  <c r="H3" i="1"/>
  <c r="H2" i="1" s="1"/>
  <c r="H4" i="1" s="1"/>
  <c r="K3" i="1"/>
  <c r="K2" i="1" s="1"/>
  <c r="C2" i="1"/>
  <c r="D3" i="1" s="1"/>
  <c r="D4" i="1" s="1"/>
  <c r="E3" i="1"/>
  <c r="E2" i="1" s="1"/>
  <c r="F3" i="1"/>
  <c r="F2" i="1" s="1"/>
  <c r="F4" i="1" s="1"/>
  <c r="J3" i="1"/>
  <c r="J2" i="1" s="1"/>
  <c r="M3" i="1"/>
  <c r="M2" i="1" s="1"/>
  <c r="I3" i="1"/>
  <c r="I2" i="1" s="1"/>
  <c r="I4" i="1" s="1"/>
  <c r="C11" i="1"/>
  <c r="C12" i="1" s="1"/>
  <c r="M12" i="1" s="1"/>
  <c r="M10" i="1" s="1"/>
  <c r="L2" i="1"/>
  <c r="L4" i="1" s="1"/>
  <c r="B15" i="1"/>
  <c r="J4" i="1" l="1"/>
  <c r="B7" i="1"/>
  <c r="K4" i="1"/>
  <c r="E4" i="1"/>
  <c r="C3" i="1"/>
  <c r="C4" i="1" s="1"/>
  <c r="M4" i="1" s="1"/>
  <c r="C7" i="1" s="1"/>
  <c r="B10" i="1"/>
</calcChain>
</file>

<file path=xl/sharedStrings.xml><?xml version="1.0" encoding="utf-8"?>
<sst xmlns="http://schemas.openxmlformats.org/spreadsheetml/2006/main" count="184" uniqueCount="153">
  <si>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</si>
  <si>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</si>
  <si>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</si>
  <si>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</si>
  <si>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</si>
  <si>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</si>
  <si>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</si>
  <si>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</si>
  <si>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</si>
  <si>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</si>
  <si>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</si>
  <si>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</si>
  <si>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N</t>
  </si>
  <si>
    <t>P</t>
  </si>
  <si>
    <t>Q</t>
  </si>
  <si>
    <t>R</t>
  </si>
  <si>
    <t>S</t>
  </si>
  <si>
    <t>T</t>
  </si>
  <si>
    <t>U</t>
  </si>
  <si>
    <t>V</t>
  </si>
  <si>
    <t>X</t>
  </si>
  <si>
    <t>Y</t>
  </si>
  <si>
    <t>W</t>
  </si>
  <si>
    <t>Z</t>
  </si>
  <si>
    <t>I</t>
  </si>
  <si>
    <t>O</t>
  </si>
  <si>
    <t>計算結果</t>
    <phoneticPr fontId="1" type="noConversion"/>
  </si>
  <si>
    <t>臺北市</t>
  </si>
  <si>
    <t>臺中市</t>
  </si>
  <si>
    <t>基隆市</t>
  </si>
  <si>
    <t>臺南市</t>
  </si>
  <si>
    <t>高雄市</t>
  </si>
  <si>
    <t>臺北縣</t>
  </si>
  <si>
    <t>宜蘭縣</t>
  </si>
  <si>
    <t>桃園縣</t>
  </si>
  <si>
    <t>嘉義市</t>
  </si>
  <si>
    <t>新竹縣</t>
  </si>
  <si>
    <t>苗栗縣</t>
  </si>
  <si>
    <t>臺中縣</t>
  </si>
  <si>
    <t>南投縣</t>
  </si>
  <si>
    <t>彰化縣</t>
  </si>
  <si>
    <t>新竹市</t>
  </si>
  <si>
    <t>雲林縣</t>
  </si>
  <si>
    <t>嘉義縣</t>
  </si>
  <si>
    <t>臺南縣</t>
  </si>
  <si>
    <t>高雄縣</t>
  </si>
  <si>
    <t>屏東縣</t>
  </si>
  <si>
    <t>花蓮縣</t>
  </si>
  <si>
    <t>臺東縣</t>
  </si>
  <si>
    <t>金門縣</t>
  </si>
  <si>
    <t>澎湖縣</t>
  </si>
  <si>
    <t>陽明山</t>
  </si>
  <si>
    <t>連江縣</t>
  </si>
  <si>
    <t>輸入身份證字號</t>
    <phoneticPr fontId="1" type="noConversion"/>
  </si>
  <si>
    <t>出生地</t>
    <phoneticPr fontId="1" type="noConversion"/>
  </si>
  <si>
    <t>檢查結果</t>
    <phoneticPr fontId="1" type="noConversion"/>
  </si>
  <si>
    <t>代號</t>
    <phoneticPr fontId="1" type="noConversion"/>
  </si>
  <si>
    <t>代碼</t>
    <phoneticPr fontId="1" type="noConversion"/>
  </si>
  <si>
    <t xml:space="preserve">  姓名</t>
    <phoneticPr fontId="1" type="noConversion"/>
  </si>
  <si>
    <t>ID</t>
    <phoneticPr fontId="1" type="noConversion"/>
  </si>
  <si>
    <t>蘇孟緯</t>
    <phoneticPr fontId="1" type="noConversion"/>
  </si>
  <si>
    <t>張大同</t>
    <phoneticPr fontId="1" type="noConversion"/>
  </si>
  <si>
    <t>王小明</t>
    <phoneticPr fontId="1" type="noConversion"/>
  </si>
  <si>
    <t>G125938271</t>
    <phoneticPr fontId="1" type="noConversion"/>
  </si>
  <si>
    <t>NAME</t>
    <phoneticPr fontId="1" type="noConversion"/>
  </si>
  <si>
    <t>y120074113</t>
    <phoneticPr fontId="1" type="noConversion"/>
  </si>
  <si>
    <t>分割/乘數</t>
  </si>
  <si>
    <t>分割/乘數</t>
    <phoneticPr fontId="1" type="noConversion"/>
  </si>
  <si>
    <t>輸入姓名</t>
    <phoneticPr fontId="1" type="noConversion"/>
  </si>
  <si>
    <t>f147891089</t>
    <phoneticPr fontId="1" type="noConversion"/>
  </si>
  <si>
    <t>王小如</t>
  </si>
  <si>
    <t>王小如</t>
    <phoneticPr fontId="1" type="noConversion"/>
  </si>
  <si>
    <t>A123456789</t>
    <phoneticPr fontId="1" type="noConversion"/>
  </si>
  <si>
    <t>Y122541389</t>
  </si>
  <si>
    <t>Y101269640</t>
  </si>
  <si>
    <t>Y200095924</t>
  </si>
  <si>
    <t>Y121122815</t>
  </si>
  <si>
    <t>Y100129368</t>
  </si>
  <si>
    <t>Y200177891</t>
  </si>
  <si>
    <t>Y100262073</t>
  </si>
  <si>
    <t>Y100265298</t>
  </si>
  <si>
    <t>Y200275249</t>
  </si>
  <si>
    <t>Y100447263</t>
  </si>
  <si>
    <t>Y100673629</t>
  </si>
  <si>
    <t>Y200678142</t>
  </si>
  <si>
    <t>Y200678786</t>
  </si>
  <si>
    <t>Y200697996</t>
  </si>
  <si>
    <t>Y201146756</t>
  </si>
  <si>
    <t>Y201148330</t>
  </si>
  <si>
    <t>Y101234662</t>
  </si>
  <si>
    <t>Y101572470</t>
  </si>
  <si>
    <t>Y101573495</t>
  </si>
  <si>
    <t>Y101663369</t>
  </si>
  <si>
    <t>Y220231574</t>
  </si>
  <si>
    <t>Y120340470</t>
  </si>
  <si>
    <t>Y120357180</t>
  </si>
  <si>
    <t>Y220379159</t>
  </si>
  <si>
    <t>Y220888617</t>
  </si>
  <si>
    <t>Y200120198</t>
  </si>
  <si>
    <t>Y100194410</t>
  </si>
  <si>
    <t>Y100275134</t>
  </si>
  <si>
    <t>Y100275438</t>
  </si>
  <si>
    <t>Y100681187</t>
  </si>
  <si>
    <t>Y100751059</t>
  </si>
  <si>
    <t>Y100959788</t>
  </si>
  <si>
    <t>Y201170389</t>
  </si>
  <si>
    <t>Y101186001</t>
  </si>
  <si>
    <t>Y101207121</t>
  </si>
  <si>
    <t>Y201214402</t>
  </si>
  <si>
    <t>Y120321495</t>
  </si>
  <si>
    <t>Y121781191</t>
  </si>
  <si>
    <t>Y121809069</t>
  </si>
  <si>
    <t>Y220498928</t>
  </si>
  <si>
    <t>許啟超</t>
  </si>
  <si>
    <t>蔡啟輝</t>
  </si>
  <si>
    <t>李貞媛</t>
  </si>
  <si>
    <t>于昱緯</t>
  </si>
  <si>
    <t>黃宗鑫</t>
  </si>
  <si>
    <t>曾苑婷</t>
  </si>
  <si>
    <t>鍾振榮</t>
  </si>
  <si>
    <t>宋志強</t>
  </si>
  <si>
    <t>陳美欣</t>
  </si>
  <si>
    <t>范士亞</t>
  </si>
  <si>
    <t>王應邦</t>
  </si>
  <si>
    <t>林阿雯</t>
    <phoneticPr fontId="7" type="noConversion"/>
  </si>
  <si>
    <t>李慧宜</t>
    <phoneticPr fontId="7" type="noConversion"/>
  </si>
  <si>
    <t>莊桂妹</t>
    <phoneticPr fontId="7" type="noConversion"/>
  </si>
  <si>
    <t>陳麗琴</t>
    <phoneticPr fontId="7" type="noConversion"/>
  </si>
  <si>
    <t>周月霞</t>
    <phoneticPr fontId="7" type="noConversion"/>
  </si>
  <si>
    <t>呂時哲</t>
  </si>
  <si>
    <t>柯緒德</t>
  </si>
  <si>
    <t>黃東慶</t>
  </si>
  <si>
    <t>林俊勇</t>
  </si>
  <si>
    <t>吳妍琪</t>
  </si>
  <si>
    <t>周國榮</t>
  </si>
  <si>
    <t>陳崇銘</t>
  </si>
  <si>
    <t>鄭文美</t>
    <phoneticPr fontId="7" type="noConversion"/>
  </si>
  <si>
    <t>李明妹</t>
    <phoneticPr fontId="7" type="noConversion"/>
  </si>
  <si>
    <t>蔡韻華</t>
  </si>
  <si>
    <t>康書澤</t>
  </si>
  <si>
    <t>張德良</t>
  </si>
  <si>
    <t>莊國祥</t>
  </si>
  <si>
    <t>劉文龍</t>
  </si>
  <si>
    <t>陳宏輝</t>
  </si>
  <si>
    <t>高志霖</t>
  </si>
  <si>
    <t>陳美如</t>
    <phoneticPr fontId="7" type="noConversion"/>
  </si>
  <si>
    <t>陳國賢</t>
  </si>
  <si>
    <t>蘇啟民</t>
  </si>
  <si>
    <t>李芷雲</t>
  </si>
  <si>
    <t>李偉德</t>
  </si>
  <si>
    <t>胡義偉</t>
  </si>
  <si>
    <t>李安邦</t>
  </si>
  <si>
    <t>楊淑娟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</si>
</sst>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6"/>
      <name val="Arial"/>
      <family val="2"/>
    </font>
    <font>
      <sz val="12"/>
      <color indexed="10"/>
      <name val="新細明體"/>
      <family val="1"/>
      <charset val="136"/>
    </font>
    <font>
      <b/>
      <sz val="12"/>
      <color indexed="51"/>
      <name val="新細明體"/>
      <family val="1"/>
      <charset val="136"/>
    </font>
    <font>
      <b/>
      <sz val="12"/>
      <color indexed="13"/>
      <name val="新細明體"/>
      <family val="1"/>
      <charset val="136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3" borderId="0" xfId="0" applyFont="1" applyFill="1">
      <alignment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5" borderId="1" xfId="0" applyFill="1" applyBorder="1">
      <alignment vertical="center"/>
    </xf>
    <xf numFmtId="0" fontId="2" fillId="0" borderId="1" xfId="0" applyFont="1" applyBorder="1" applyAlignment="1">
      <alignment horizontal="center" vertical="top" wrapText="1"/>
    </xf>
    <xf numFmtId="0" fontId="0" fillId="0" borderId="0" xfId="0" applyBorder="1">
      <alignment vertical="center"/>
    </xf>
    <xf numFmtId="0" fontId="0" fillId="0" borderId="2" xfId="0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1" xfId="0" applyBorder="1" applyAlignment="1">
      <alignment horizontal="right" vertical="center"/>
    </xf>
    <xf numFmtId="0" fontId="4" fillId="3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/>
      <protection locked="0"/>
    </xf>
    <xf numFmtId="0" fontId="6" fillId="0" borderId="1" xfId="0" applyFont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200025</xdr:rowOff>
        </xdr:from>
        <xdr:to>
          <xdr:col>1</xdr:col>
          <xdr:colOff>1209675</xdr:colOff>
          <xdr:row>8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9377828-099C-4FBC-9DE4-6A70EED2F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產生身份證字號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0</xdr:rowOff>
        </xdr:from>
        <xdr:to>
          <xdr:col>1</xdr:col>
          <xdr:colOff>1219200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0669B29-56A3-447C-89F9-9B04A610B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輸入身份證字號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B45" totalsRowShown="0">
  <autoFilter ref="A1:B45"/>
  <tableColumns count="2">
    <tableColumn id="1" name="NAME"/>
    <tableColumn id="2" name="I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5"/>
  <sheetViews>
    <sheetView workbookViewId="0">
      <selection activeCell="C10" sqref="C10:D10"/>
    </sheetView>
  </sheetViews>
  <sheetFormatPr defaultRowHeight="16.5"/>
  <cols>
    <col min="1" max="1" width="10.125" customWidth="1"/>
    <col min="2" max="2" width="16.125" customWidth="1"/>
    <col min="3" max="3" width="6.5" bestFit="1" customWidth="1"/>
    <col min="4" max="4" width="3.375" customWidth="1"/>
    <col min="5" max="12" width="4.625" customWidth="1"/>
    <col min="13" max="13" width="7.125" bestFit="1" customWidth="1"/>
  </cols>
  <sheetData>
    <row r="1" spans="1:13">
      <c r="A1" s="12" t="s">
        <v>58</v>
      </c>
      <c r="B1" s="8" t="s">
        <v>53</v>
      </c>
      <c r="C1" s="15">
        <v>1</v>
      </c>
      <c r="D1" s="15"/>
      <c r="E1" s="3">
        <v>2</v>
      </c>
      <c r="F1" s="3">
        <v>3</v>
      </c>
      <c r="G1" s="3">
        <v>4</v>
      </c>
      <c r="H1" s="3">
        <v>5</v>
      </c>
      <c r="I1" s="3">
        <v>6</v>
      </c>
      <c r="J1" s="3">
        <v>7</v>
      </c>
      <c r="K1" s="3">
        <v>8</v>
      </c>
      <c r="L1" s="3">
        <v>9</v>
      </c>
      <c r="M1" s="3">
        <v>10</v>
      </c>
    </row>
    <row r="2" spans="1:13">
      <c r="A2" t="s">
        <v>70</v>
      </c>
      <c r="B2" s="7" t="str">
        <f>IF(A2=0,"",VLOOKUP(A2,資料清單!$A$2:$B$200,2,0))</f>
        <v>A123456789</v>
      </c>
      <c r="C2" s="16" t="str">
        <f>LEFT(B2,1)</f>
        <v>A</v>
      </c>
      <c r="D2" s="16"/>
      <c r="E2" s="13" t="str">
        <f>IF(B2=0,"",MID($B$2,10-E3,1))</f>
        <v>1</v>
      </c>
      <c r="F2" s="13" t="str">
        <f>IF(B2=0,"",MID($B$2,10-F3,1))</f>
        <v>2</v>
      </c>
      <c r="G2" s="13" t="str">
        <f>IF(B2=0,"",MID($B$2,10-G3,1))</f>
        <v>3</v>
      </c>
      <c r="H2" s="13" t="str">
        <f>IF(B2=0,"",MID($B$2,10-H3,1))</f>
        <v>4</v>
      </c>
      <c r="I2" s="13" t="str">
        <f>IF(B2=0,"",MID($B$2,10-I3,1))</f>
        <v>5</v>
      </c>
      <c r="J2" s="13" t="str">
        <f>IF(B2=0,"",MID($B$2,10-J3,1))</f>
        <v>6</v>
      </c>
      <c r="K2" s="13" t="str">
        <f>IF(B2=0,"",MID($B$2,10-K3,1))</f>
        <v>7</v>
      </c>
      <c r="L2" s="13" t="str">
        <f>IF(B2=0,"",MID($B$2,10-L3,1))</f>
        <v>8</v>
      </c>
      <c r="M2" s="14">
        <f>IF(B2=0,"",VALUE(MID($B$2,10-M3,1)))</f>
        <v>9</v>
      </c>
    </row>
    <row r="3" spans="1:13">
      <c r="B3" s="5" t="s">
        <v>67</v>
      </c>
      <c r="C3" s="5">
        <f>IF(B2=0,"",VALUE(LEFT(TEXT(VLOOKUP(C2,CITYID,2,0),0),1)))</f>
        <v>1</v>
      </c>
      <c r="D3" s="5">
        <f>IF(B2=0,"",VALUE(RIGHT(TEXT(VLOOKUP(C2,CITYID,2,0),0),1)))</f>
        <v>0</v>
      </c>
      <c r="E3" s="13">
        <f>IF(B2=0,"",8)</f>
        <v>8</v>
      </c>
      <c r="F3" s="13">
        <f>IF(B2=0,"",7)</f>
        <v>7</v>
      </c>
      <c r="G3" s="13">
        <f>IF(B2=0,"",6)</f>
        <v>6</v>
      </c>
      <c r="H3" s="13">
        <f>IF(B2=0,"",5)</f>
        <v>5</v>
      </c>
      <c r="I3" s="13">
        <f>IF(B2=0,"",4)</f>
        <v>4</v>
      </c>
      <c r="J3" s="13">
        <f>IF(B2=0,"",3)</f>
        <v>3</v>
      </c>
      <c r="K3" s="13">
        <f>IF(B2=0,"",2)</f>
        <v>2</v>
      </c>
      <c r="L3" s="13">
        <f>IF(B2=0,"",1)</f>
        <v>1</v>
      </c>
      <c r="M3" s="13">
        <f>IF(B2=0,"",0)</f>
        <v>0</v>
      </c>
    </row>
    <row r="4" spans="1:13">
      <c r="B4" s="5" t="s">
        <v>26</v>
      </c>
      <c r="C4" s="5">
        <f>C3</f>
        <v>1</v>
      </c>
      <c r="D4" s="5">
        <f>IF(B2=0,"",D3*9)</f>
        <v>0</v>
      </c>
      <c r="E4" s="13">
        <f>IF(B2=0,"",E3*E2)</f>
        <v>8</v>
      </c>
      <c r="F4" s="13">
        <f>IF(B2=0,"",F3*F2)</f>
        <v>14</v>
      </c>
      <c r="G4" s="13">
        <f>IF(B2=0,"",G3*G2)</f>
        <v>18</v>
      </c>
      <c r="H4" s="13">
        <f>IF(B2=0,"",H3*H2)</f>
        <v>20</v>
      </c>
      <c r="I4" s="13">
        <f>IF(B2=0,"",I3*I2)</f>
        <v>20</v>
      </c>
      <c r="J4" s="13">
        <f>IF(B2=0,"",J3*J2)</f>
        <v>18</v>
      </c>
      <c r="K4" s="13">
        <f>IF(B2=0,"",K3*K2)</f>
        <v>14</v>
      </c>
      <c r="L4" s="13">
        <f>IF(B2=0,"",L3*L2)</f>
        <v>8</v>
      </c>
      <c r="M4" s="13">
        <f>IF(B2=0,"",IF(MOD(SUM(C4:L4),10)=0,0,10-MOD(SUM(C4:L4),10)))</f>
        <v>9</v>
      </c>
    </row>
    <row r="5" spans="1:13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13" ht="17.25" thickBot="1">
      <c r="B6" s="6" t="s">
        <v>54</v>
      </c>
      <c r="C6" s="17" t="s">
        <v>55</v>
      </c>
      <c r="D6" s="17"/>
      <c r="E6" s="17"/>
    </row>
    <row r="7" spans="1:13" ht="17.25" thickBot="1">
      <c r="B7" s="11" t="str">
        <f>IF(B2=0,"-",VLOOKUP(C2,對照資料!A2:C27,3,0))</f>
        <v>臺北市</v>
      </c>
      <c r="C7" s="18" t="str">
        <f>IF(B2=0,"-",IF(M2=M4,"正確","錯誤"))</f>
        <v>正確</v>
      </c>
      <c r="D7" s="19"/>
      <c r="E7" s="20"/>
    </row>
    <row r="9" spans="1:13">
      <c r="A9" s="12" t="s">
        <v>68</v>
      </c>
      <c r="B9" s="5" t="s">
        <v>53</v>
      </c>
      <c r="C9" s="15">
        <v>1</v>
      </c>
      <c r="D9" s="15"/>
      <c r="E9" s="3">
        <v>2</v>
      </c>
      <c r="F9" s="3">
        <v>3</v>
      </c>
      <c r="G9" s="3">
        <v>4</v>
      </c>
      <c r="H9" s="3">
        <v>5</v>
      </c>
      <c r="I9" s="3">
        <v>6</v>
      </c>
      <c r="J9" s="3">
        <v>7</v>
      </c>
      <c r="K9" s="3">
        <v>8</v>
      </c>
      <c r="L9" s="3">
        <v>9</v>
      </c>
      <c r="M9" s="3">
        <v>10</v>
      </c>
    </row>
    <row r="10" spans="1:13">
      <c r="B10" s="7" t="str">
        <f ca="1">C10&amp;E10&amp;F10&amp;G10&amp;H10&amp;I10&amp;J10&amp;K10&amp;L10&amp;M12</f>
        <v>J179374574</v>
      </c>
      <c r="C10" s="16" t="str">
        <f ca="1">VLOOKUP(ROUNDUP((RAND()*26)+9,0),對照資料!B2:D27,3,0)</f>
        <v>J</v>
      </c>
      <c r="D10" s="16"/>
      <c r="E10" s="2">
        <f ca="1">IF(MOD(ROUNDUP((RAND()*10),0),2)=0,2,1)</f>
        <v>1</v>
      </c>
      <c r="F10" s="2">
        <f t="shared" ref="F10:L10" ca="1" si="0">ROUNDUP((RAND()*9),0)</f>
        <v>7</v>
      </c>
      <c r="G10" s="2">
        <f t="shared" ca="1" si="0"/>
        <v>9</v>
      </c>
      <c r="H10" s="2">
        <f t="shared" ca="1" si="0"/>
        <v>3</v>
      </c>
      <c r="I10" s="2">
        <f t="shared" ca="1" si="0"/>
        <v>7</v>
      </c>
      <c r="J10" s="2">
        <f t="shared" ca="1" si="0"/>
        <v>4</v>
      </c>
      <c r="K10" s="2">
        <f t="shared" ca="1" si="0"/>
        <v>5</v>
      </c>
      <c r="L10" s="2">
        <f t="shared" ca="1" si="0"/>
        <v>7</v>
      </c>
      <c r="M10" s="4">
        <f ca="1">M12</f>
        <v>4</v>
      </c>
    </row>
    <row r="11" spans="1:13">
      <c r="B11" s="5" t="s">
        <v>66</v>
      </c>
      <c r="C11" s="5">
        <f ca="1">VALUE(LEFT(TEXT(VLOOKUP(C10,CITYID,2,0),0),1))</f>
        <v>1</v>
      </c>
      <c r="D11" s="5">
        <f ca="1">VALUE(RIGHT(TEXT(VLOOKUP(C10,CITYID,2,0),0)))</f>
        <v>8</v>
      </c>
      <c r="E11" s="5">
        <v>8</v>
      </c>
      <c r="F11" s="5">
        <v>7</v>
      </c>
      <c r="G11" s="5">
        <v>6</v>
      </c>
      <c r="H11" s="5">
        <v>5</v>
      </c>
      <c r="I11" s="5">
        <v>4</v>
      </c>
      <c r="J11" s="5">
        <v>3</v>
      </c>
      <c r="K11" s="5">
        <v>2</v>
      </c>
      <c r="L11" s="5">
        <v>1</v>
      </c>
      <c r="M11" s="2">
        <v>0</v>
      </c>
    </row>
    <row r="12" spans="1:13">
      <c r="B12" s="5" t="s">
        <v>26</v>
      </c>
      <c r="C12" s="5">
        <f ca="1">C11</f>
        <v>1</v>
      </c>
      <c r="D12" s="5">
        <f ca="1">D11*9</f>
        <v>72</v>
      </c>
      <c r="E12" s="5">
        <f ca="1">E11*E10</f>
        <v>8</v>
      </c>
      <c r="F12" s="5">
        <f t="shared" ref="F12:L12" ca="1" si="1">F11*F10</f>
        <v>49</v>
      </c>
      <c r="G12" s="5">
        <f t="shared" ca="1" si="1"/>
        <v>54</v>
      </c>
      <c r="H12" s="5">
        <f t="shared" ca="1" si="1"/>
        <v>15</v>
      </c>
      <c r="I12" s="5">
        <f t="shared" ca="1" si="1"/>
        <v>28</v>
      </c>
      <c r="J12" s="5">
        <f t="shared" ca="1" si="1"/>
        <v>12</v>
      </c>
      <c r="K12" s="5">
        <f t="shared" ca="1" si="1"/>
        <v>10</v>
      </c>
      <c r="L12" s="5">
        <f t="shared" ca="1" si="1"/>
        <v>7</v>
      </c>
      <c r="M12" s="2">
        <f ca="1">IF(10-MOD(SUM(C12:L12),10)=10,0,10-MOD(SUM(C12:L12),10))</f>
        <v>4</v>
      </c>
    </row>
    <row r="14" spans="1:13" ht="17.25" thickBot="1">
      <c r="B14" s="6" t="s">
        <v>54</v>
      </c>
    </row>
    <row r="15" spans="1:13" ht="17.25" thickBot="1">
      <c r="B15" s="11" t="str">
        <f ca="1">VLOOKUP(C10,對照資料!A2:C27,3,0)</f>
        <v>新竹縣</v>
      </c>
    </row>
  </sheetData>
  <mergeCells count="6">
    <mergeCell ref="C1:D1"/>
    <mergeCell ref="C2:D2"/>
    <mergeCell ref="C9:D9"/>
    <mergeCell ref="C10:D10"/>
    <mergeCell ref="C6:E6"/>
    <mergeCell ref="C7:E7"/>
  </mergeCells>
  <phoneticPr fontId="1" type="noConversion"/>
  <dataValidations count="3">
    <dataValidation type="textLength" operator="equal" allowBlank="1" showInputMessage="1" showErrorMessage="1" sqref="B10">
      <formula1>10</formula1>
    </dataValidation>
    <dataValidation imeMode="off" operator="equal" allowBlank="1" showInputMessage="1" showErrorMessage="1" sqref="B2"/>
    <dataValidation type="list" allowBlank="1" showInputMessage="1" showErrorMessage="1" sqref="A2">
      <formula1>NAME</formula1>
    </dataValidation>
  </dataValidations>
  <pageMargins left="0.75" right="0.75" top="1" bottom="1" header="0.5" footer="0.5"/>
  <pageSetup paperSize="9"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DGen">
                <anchor moveWithCells="1" sizeWithCells="1">
                  <from>
                    <xdr:col>1</xdr:col>
                    <xdr:colOff>9525</xdr:colOff>
                    <xdr:row>7</xdr:row>
                    <xdr:rowOff>200025</xdr:rowOff>
                  </from>
                  <to>
                    <xdr:col>1</xdr:col>
                    <xdr:colOff>1209675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DBnk">
                <anchor moveWithCells="1" siz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1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2056" divId="IDCheck_2056" sourceType="sheet" destinationFile="D:\aspweb\Page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5"/>
  <sheetViews>
    <sheetView tabSelected="1" workbookViewId="0">
      <selection activeCell="C6" sqref="C6"/>
    </sheetView>
  </sheetViews>
  <sheetFormatPr defaultRowHeight="16.5"/>
  <cols>
    <col min="2" max="2" width="11.375" customWidth="1"/>
  </cols>
  <sheetData>
    <row r="1" spans="1:2">
      <c r="A1" t="s">
        <v>64</v>
      </c>
      <c r="B1" t="s">
        <v>59</v>
      </c>
    </row>
    <row r="2" spans="1:2">
      <c r="A2" t="s">
        <v>60</v>
      </c>
      <c r="B2" t="s">
        <v>65</v>
      </c>
    </row>
    <row r="3" spans="1:2">
      <c r="A3" t="s">
        <v>61</v>
      </c>
      <c r="B3" t="s">
        <v>69</v>
      </c>
    </row>
    <row r="4" spans="1:2">
      <c r="A4" t="s">
        <v>62</v>
      </c>
      <c r="B4" t="s">
        <v>63</v>
      </c>
    </row>
    <row r="5" spans="1:2">
      <c r="A5" s="10" t="s">
        <v>71</v>
      </c>
      <c r="B5" s="10" t="s">
        <v>72</v>
      </c>
    </row>
    <row r="6" spans="1:2">
      <c r="A6" s="21" t="s">
        <v>113</v>
      </c>
      <c r="B6" t="s">
        <v>73</v>
      </c>
    </row>
    <row r="7" spans="1:2">
      <c r="A7" s="22" t="s">
        <v>114</v>
      </c>
      <c r="B7" t="s">
        <v>74</v>
      </c>
    </row>
    <row r="8" spans="1:2">
      <c r="A8" s="21" t="s">
        <v>115</v>
      </c>
      <c r="B8" t="s">
        <v>75</v>
      </c>
    </row>
    <row r="9" spans="1:2">
      <c r="A9" s="22" t="s">
        <v>116</v>
      </c>
      <c r="B9" t="s">
        <v>76</v>
      </c>
    </row>
    <row r="10" spans="1:2">
      <c r="A10" s="21" t="s">
        <v>117</v>
      </c>
      <c r="B10" t="s">
        <v>77</v>
      </c>
    </row>
    <row r="11" spans="1:2">
      <c r="A11" s="21" t="s">
        <v>118</v>
      </c>
      <c r="B11" t="s">
        <v>78</v>
      </c>
    </row>
    <row r="12" spans="1:2">
      <c r="A12" s="22" t="s">
        <v>119</v>
      </c>
      <c r="B12" t="s">
        <v>79</v>
      </c>
    </row>
    <row r="13" spans="1:2">
      <c r="A13" s="21" t="s">
        <v>120</v>
      </c>
      <c r="B13" t="s">
        <v>80</v>
      </c>
    </row>
    <row r="14" spans="1:2">
      <c r="A14" s="22" t="s">
        <v>121</v>
      </c>
      <c r="B14" t="s">
        <v>81</v>
      </c>
    </row>
    <row r="15" spans="1:2">
      <c r="A15" s="22" t="s">
        <v>122</v>
      </c>
      <c r="B15" t="s">
        <v>82</v>
      </c>
    </row>
    <row r="16" spans="1:2">
      <c r="A16" s="22" t="s">
        <v>123</v>
      </c>
      <c r="B16" t="s">
        <v>83</v>
      </c>
    </row>
    <row r="17" spans="1:2">
      <c r="A17" s="22" t="s">
        <v>124</v>
      </c>
      <c r="B17" t="s">
        <v>84</v>
      </c>
    </row>
    <row r="18" spans="1:2">
      <c r="A18" s="21" t="s">
        <v>125</v>
      </c>
      <c r="B18" t="s">
        <v>85</v>
      </c>
    </row>
    <row r="19" spans="1:2">
      <c r="A19" s="22" t="s">
        <v>126</v>
      </c>
      <c r="B19" t="s">
        <v>86</v>
      </c>
    </row>
    <row r="20" spans="1:2">
      <c r="A20" s="21" t="s">
        <v>127</v>
      </c>
      <c r="B20" t="s">
        <v>87</v>
      </c>
    </row>
    <row r="21" spans="1:2">
      <c r="A21" s="21" t="s">
        <v>128</v>
      </c>
      <c r="B21" t="s">
        <v>88</v>
      </c>
    </row>
    <row r="22" spans="1:2">
      <c r="A22" s="21" t="s">
        <v>129</v>
      </c>
      <c r="B22" t="s">
        <v>89</v>
      </c>
    </row>
    <row r="23" spans="1:2">
      <c r="A23" s="21" t="s">
        <v>130</v>
      </c>
      <c r="B23" t="s">
        <v>90</v>
      </c>
    </row>
    <row r="24" spans="1:2">
      <c r="A24" s="22" t="s">
        <v>131</v>
      </c>
      <c r="B24" t="s">
        <v>91</v>
      </c>
    </row>
    <row r="25" spans="1:2">
      <c r="A25" s="22" t="s">
        <v>132</v>
      </c>
      <c r="B25" t="s">
        <v>92</v>
      </c>
    </row>
    <row r="26" spans="1:2">
      <c r="A26" s="22" t="s">
        <v>133</v>
      </c>
      <c r="B26" t="s">
        <v>93</v>
      </c>
    </row>
    <row r="27" spans="1:2">
      <c r="A27" s="22" t="s">
        <v>134</v>
      </c>
      <c r="B27" t="s">
        <v>94</v>
      </c>
    </row>
    <row r="28" spans="1:2">
      <c r="A28" s="21" t="s">
        <v>135</v>
      </c>
      <c r="B28" t="s">
        <v>95</v>
      </c>
    </row>
    <row r="29" spans="1:2">
      <c r="A29" s="22" t="s">
        <v>136</v>
      </c>
      <c r="B29" t="s">
        <v>96</v>
      </c>
    </row>
    <row r="30" spans="1:2">
      <c r="A30" s="22" t="s">
        <v>137</v>
      </c>
      <c r="B30" t="s">
        <v>97</v>
      </c>
    </row>
    <row r="31" spans="1:2">
      <c r="A31" s="21" t="s">
        <v>138</v>
      </c>
      <c r="B31" t="s">
        <v>98</v>
      </c>
    </row>
    <row r="32" spans="1:2">
      <c r="A32" s="21" t="s">
        <v>139</v>
      </c>
      <c r="B32" t="s">
        <v>99</v>
      </c>
    </row>
    <row r="33" spans="1:2">
      <c r="A33" s="22" t="s">
        <v>140</v>
      </c>
      <c r="B33" t="s">
        <v>100</v>
      </c>
    </row>
    <row r="34" spans="1:2">
      <c r="A34" s="22" t="s">
        <v>141</v>
      </c>
      <c r="B34" t="s">
        <v>101</v>
      </c>
    </row>
    <row r="35" spans="1:2">
      <c r="A35" s="22" t="s">
        <v>142</v>
      </c>
      <c r="B35" t="s">
        <v>102</v>
      </c>
    </row>
    <row r="36" spans="1:2">
      <c r="A36" s="22" t="s">
        <v>143</v>
      </c>
      <c r="B36" t="s">
        <v>103</v>
      </c>
    </row>
    <row r="37" spans="1:2">
      <c r="A37" s="22" t="s">
        <v>144</v>
      </c>
      <c r="B37" t="s">
        <v>104</v>
      </c>
    </row>
    <row r="38" spans="1:2">
      <c r="A38" s="22" t="s">
        <v>145</v>
      </c>
      <c r="B38" t="s">
        <v>105</v>
      </c>
    </row>
    <row r="39" spans="1:2">
      <c r="A39" s="22" t="s">
        <v>146</v>
      </c>
      <c r="B39" t="s">
        <v>106</v>
      </c>
    </row>
    <row r="40" spans="1:2">
      <c r="A40" s="22" t="s">
        <v>147</v>
      </c>
      <c r="B40" t="s">
        <v>107</v>
      </c>
    </row>
    <row r="41" spans="1:2">
      <c r="A41" s="22" t="s">
        <v>148</v>
      </c>
      <c r="B41" t="s">
        <v>108</v>
      </c>
    </row>
    <row r="42" spans="1:2">
      <c r="A42" s="22" t="s">
        <v>149</v>
      </c>
      <c r="B42" t="s">
        <v>109</v>
      </c>
    </row>
    <row r="43" spans="1:2">
      <c r="A43" s="22" t="s">
        <v>150</v>
      </c>
      <c r="B43" t="s">
        <v>110</v>
      </c>
    </row>
    <row r="44" spans="1:2">
      <c r="A44" s="22" t="s">
        <v>151</v>
      </c>
      <c r="B44" t="s">
        <v>111</v>
      </c>
    </row>
    <row r="45" spans="1:2">
      <c r="A45" s="22" t="s">
        <v>152</v>
      </c>
      <c r="B45" t="s">
        <v>112</v>
      </c>
    </row>
  </sheetData>
  <phoneticPr fontId="1" type="noConversion"/>
  <dataValidations count="1">
    <dataValidation type="textLength" operator="equal" allowBlank="1" showInputMessage="1" showErrorMessage="1" sqref="B1:B1048576">
      <formula1>10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7"/>
  <sheetViews>
    <sheetView workbookViewId="0">
      <selection activeCell="F21" sqref="F21"/>
    </sheetView>
  </sheetViews>
  <sheetFormatPr defaultRowHeight="16.5"/>
  <cols>
    <col min="1" max="2" width="5.875" bestFit="1" customWidth="1"/>
    <col min="3" max="3" width="8" bestFit="1" customWidth="1"/>
    <col min="4" max="4" width="5.875" customWidth="1"/>
    <col min="5" max="12" width="4.75" bestFit="1" customWidth="1"/>
  </cols>
  <sheetData>
    <row r="1" spans="1:4">
      <c r="A1" s="1" t="s">
        <v>56</v>
      </c>
      <c r="B1" s="1" t="s">
        <v>57</v>
      </c>
      <c r="C1" s="1" t="s">
        <v>54</v>
      </c>
      <c r="D1" s="1" t="s">
        <v>56</v>
      </c>
    </row>
    <row r="2" spans="1:4" ht="20.25">
      <c r="A2" s="9" t="s">
        <v>0</v>
      </c>
      <c r="B2" s="9">
        <v>10</v>
      </c>
      <c r="C2" s="5" t="s">
        <v>27</v>
      </c>
      <c r="D2" s="9" t="s">
        <v>0</v>
      </c>
    </row>
    <row r="3" spans="1:4" ht="20.25">
      <c r="A3" s="9" t="s">
        <v>1</v>
      </c>
      <c r="B3" s="9">
        <v>11</v>
      </c>
      <c r="C3" s="5" t="s">
        <v>28</v>
      </c>
      <c r="D3" s="9" t="s">
        <v>1</v>
      </c>
    </row>
    <row r="4" spans="1:4" ht="20.25">
      <c r="A4" s="9" t="s">
        <v>2</v>
      </c>
      <c r="B4" s="9">
        <v>12</v>
      </c>
      <c r="C4" s="5" t="s">
        <v>29</v>
      </c>
      <c r="D4" s="9" t="s">
        <v>2</v>
      </c>
    </row>
    <row r="5" spans="1:4" ht="20.25">
      <c r="A5" s="9" t="s">
        <v>3</v>
      </c>
      <c r="B5" s="9">
        <v>13</v>
      </c>
      <c r="C5" s="5" t="s">
        <v>30</v>
      </c>
      <c r="D5" s="9" t="s">
        <v>3</v>
      </c>
    </row>
    <row r="6" spans="1:4" ht="20.25">
      <c r="A6" s="9" t="s">
        <v>4</v>
      </c>
      <c r="B6" s="9">
        <v>14</v>
      </c>
      <c r="C6" s="5" t="s">
        <v>31</v>
      </c>
      <c r="D6" s="9" t="s">
        <v>4</v>
      </c>
    </row>
    <row r="7" spans="1:4" ht="20.25">
      <c r="A7" s="9" t="s">
        <v>5</v>
      </c>
      <c r="B7" s="9">
        <v>15</v>
      </c>
      <c r="C7" s="5" t="s">
        <v>32</v>
      </c>
      <c r="D7" s="9" t="s">
        <v>5</v>
      </c>
    </row>
    <row r="8" spans="1:4" ht="20.25">
      <c r="A8" s="9" t="s">
        <v>6</v>
      </c>
      <c r="B8" s="9">
        <v>16</v>
      </c>
      <c r="C8" s="5" t="s">
        <v>33</v>
      </c>
      <c r="D8" s="9" t="s">
        <v>6</v>
      </c>
    </row>
    <row r="9" spans="1:4" ht="20.25">
      <c r="A9" s="9" t="s">
        <v>7</v>
      </c>
      <c r="B9" s="9">
        <v>17</v>
      </c>
      <c r="C9" s="5" t="s">
        <v>34</v>
      </c>
      <c r="D9" s="9" t="s">
        <v>7</v>
      </c>
    </row>
    <row r="10" spans="1:4" ht="20.25">
      <c r="A10" s="9" t="s">
        <v>8</v>
      </c>
      <c r="B10" s="9">
        <v>18</v>
      </c>
      <c r="C10" s="5" t="s">
        <v>36</v>
      </c>
      <c r="D10" s="9" t="s">
        <v>8</v>
      </c>
    </row>
    <row r="11" spans="1:4" ht="20.25">
      <c r="A11" s="9" t="s">
        <v>9</v>
      </c>
      <c r="B11" s="9">
        <v>19</v>
      </c>
      <c r="C11" s="5" t="s">
        <v>37</v>
      </c>
      <c r="D11" s="9" t="s">
        <v>9</v>
      </c>
    </row>
    <row r="12" spans="1:4" ht="20.25">
      <c r="A12" s="9" t="s">
        <v>10</v>
      </c>
      <c r="B12" s="9">
        <v>20</v>
      </c>
      <c r="C12" s="5" t="s">
        <v>38</v>
      </c>
      <c r="D12" s="9" t="s">
        <v>10</v>
      </c>
    </row>
    <row r="13" spans="1:4" ht="20.25">
      <c r="A13" s="9" t="s">
        <v>11</v>
      </c>
      <c r="B13" s="9">
        <v>21</v>
      </c>
      <c r="C13" s="5" t="s">
        <v>39</v>
      </c>
      <c r="D13" s="9" t="s">
        <v>11</v>
      </c>
    </row>
    <row r="14" spans="1:4" ht="20.25">
      <c r="A14" s="9" t="s">
        <v>12</v>
      </c>
      <c r="B14" s="9">
        <v>22</v>
      </c>
      <c r="C14" s="5" t="s">
        <v>40</v>
      </c>
      <c r="D14" s="9" t="s">
        <v>12</v>
      </c>
    </row>
    <row r="15" spans="1:4" ht="20.25">
      <c r="A15" s="9" t="s">
        <v>13</v>
      </c>
      <c r="B15" s="9">
        <v>23</v>
      </c>
      <c r="C15" s="5" t="s">
        <v>42</v>
      </c>
      <c r="D15" s="9" t="s">
        <v>13</v>
      </c>
    </row>
    <row r="16" spans="1:4" ht="20.25">
      <c r="A16" s="9" t="s">
        <v>14</v>
      </c>
      <c r="B16" s="9">
        <v>24</v>
      </c>
      <c r="C16" s="5" t="s">
        <v>43</v>
      </c>
      <c r="D16" s="9" t="s">
        <v>14</v>
      </c>
    </row>
    <row r="17" spans="1:4" ht="20.25">
      <c r="A17" s="9" t="s">
        <v>15</v>
      </c>
      <c r="B17" s="9">
        <v>25</v>
      </c>
      <c r="C17" s="5" t="s">
        <v>44</v>
      </c>
      <c r="D17" s="9" t="s">
        <v>15</v>
      </c>
    </row>
    <row r="18" spans="1:4" ht="20.25">
      <c r="A18" s="9" t="s">
        <v>16</v>
      </c>
      <c r="B18" s="9">
        <v>26</v>
      </c>
      <c r="C18" s="5" t="s">
        <v>45</v>
      </c>
      <c r="D18" s="9" t="s">
        <v>16</v>
      </c>
    </row>
    <row r="19" spans="1:4" ht="20.25">
      <c r="A19" s="9" t="s">
        <v>17</v>
      </c>
      <c r="B19" s="9">
        <v>27</v>
      </c>
      <c r="C19" s="5" t="s">
        <v>46</v>
      </c>
      <c r="D19" s="9" t="s">
        <v>17</v>
      </c>
    </row>
    <row r="20" spans="1:4" ht="20.25">
      <c r="A20" s="9" t="s">
        <v>18</v>
      </c>
      <c r="B20" s="9">
        <v>28</v>
      </c>
      <c r="C20" s="5" t="s">
        <v>47</v>
      </c>
      <c r="D20" s="9" t="s">
        <v>18</v>
      </c>
    </row>
    <row r="21" spans="1:4" ht="20.25">
      <c r="A21" s="9" t="s">
        <v>19</v>
      </c>
      <c r="B21" s="9">
        <v>29</v>
      </c>
      <c r="C21" s="5" t="s">
        <v>48</v>
      </c>
      <c r="D21" s="9" t="s">
        <v>19</v>
      </c>
    </row>
    <row r="22" spans="1:4" ht="20.25">
      <c r="A22" s="9" t="s">
        <v>20</v>
      </c>
      <c r="B22" s="9">
        <v>30</v>
      </c>
      <c r="C22" s="5" t="s">
        <v>50</v>
      </c>
      <c r="D22" s="9" t="s">
        <v>20</v>
      </c>
    </row>
    <row r="23" spans="1:4" ht="20.25">
      <c r="A23" s="9" t="s">
        <v>21</v>
      </c>
      <c r="B23" s="9">
        <v>31</v>
      </c>
      <c r="C23" s="5" t="s">
        <v>51</v>
      </c>
      <c r="D23" s="9" t="s">
        <v>21</v>
      </c>
    </row>
    <row r="24" spans="1:4" ht="20.25">
      <c r="A24" s="9" t="s">
        <v>22</v>
      </c>
      <c r="B24" s="9">
        <v>32</v>
      </c>
      <c r="C24" s="5" t="s">
        <v>49</v>
      </c>
      <c r="D24" s="9" t="s">
        <v>22</v>
      </c>
    </row>
    <row r="25" spans="1:4" ht="20.25">
      <c r="A25" s="9" t="s">
        <v>23</v>
      </c>
      <c r="B25" s="9">
        <v>33</v>
      </c>
      <c r="C25" s="5" t="s">
        <v>52</v>
      </c>
      <c r="D25" s="9" t="s">
        <v>23</v>
      </c>
    </row>
    <row r="26" spans="1:4" ht="20.25">
      <c r="A26" s="9" t="s">
        <v>24</v>
      </c>
      <c r="B26" s="9">
        <v>34</v>
      </c>
      <c r="C26" s="5" t="s">
        <v>35</v>
      </c>
      <c r="D26" s="9" t="s">
        <v>24</v>
      </c>
    </row>
    <row r="27" spans="1:4" ht="20.25">
      <c r="A27" s="9" t="s">
        <v>25</v>
      </c>
      <c r="B27" s="9">
        <v>35</v>
      </c>
      <c r="C27" s="5" t="s">
        <v>41</v>
      </c>
      <c r="D27" s="9" t="s">
        <v>25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4</vt:i4>
      </vt:variant>
    </vt:vector>
  </HeadingPairs>
  <TitlesOfParts>
    <vt:vector size="7" baseType="lpstr">
      <vt:lpstr>檢查</vt:lpstr>
      <vt:lpstr>資料清單</vt:lpstr>
      <vt:lpstr>對照資料</vt:lpstr>
      <vt:lpstr>CITYID</vt:lpstr>
      <vt:lpstr>ID</vt:lpstr>
      <vt:lpstr>NAME</vt:lpstr>
      <vt:lpstr>NMAE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蘇孟緯</dc:creator>
  <cp:lastModifiedBy>蘇孟緯</cp:lastModifiedBy>
  <dcterms:created xsi:type="dcterms:W3CDTF">2003-11-07T00:40:51Z</dcterms:created>
  <dcterms:modified xsi:type="dcterms:W3CDTF">2019-04-30T09:09:30Z</dcterms:modified>
</cp:coreProperties>
</file>