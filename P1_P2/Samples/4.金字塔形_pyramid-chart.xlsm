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E:\_107\Scott-寶輝建設\第二次\設定格式化條件進階應用\Samples\"/>
    </mc:Choice>
  </mc:AlternateContent>
  <xr:revisionPtr revIDLastSave="0" documentId="13_ncr:1_{D57DD864-AC91-4E39-9F6C-517D93496BCD}" xr6:coauthVersionLast="41" xr6:coauthVersionMax="41" xr10:uidLastSave="{00000000-0000-0000-0000-000000000000}"/>
  <bookViews>
    <workbookView xWindow="-120" yWindow="-120" windowWidth="20730" windowHeight="11160" activeTab="3" xr2:uid="{00000000-000D-0000-FFFF-FFFF00000000}"/>
  </bookViews>
  <sheets>
    <sheet name="Using In-Cell Method" sheetId="4" r:id="rId1"/>
    <sheet name="Using Conditional Formatting" sheetId="6" r:id="rId2"/>
    <sheet name="Using Bar Chart" sheetId="5" r:id="rId3"/>
    <sheet name="Data" sheetId="3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6" l="1"/>
  <c r="G6" i="6"/>
  <c r="G7" i="6"/>
  <c r="G8" i="6"/>
  <c r="G9" i="6"/>
  <c r="G10" i="6"/>
  <c r="G11" i="6"/>
  <c r="G12" i="6"/>
  <c r="G13" i="6"/>
  <c r="G4" i="6"/>
  <c r="M3" i="4" l="1"/>
  <c r="K2" i="5"/>
  <c r="O5" i="5"/>
  <c r="N5" i="5" s="1"/>
  <c r="O6" i="5"/>
  <c r="N6" i="5" s="1"/>
  <c r="O7" i="5"/>
  <c r="N7" i="5" s="1"/>
  <c r="O8" i="5"/>
  <c r="N8" i="5" s="1"/>
  <c r="O9" i="5"/>
  <c r="N9" i="5" s="1"/>
  <c r="O10" i="5"/>
  <c r="N10" i="5" s="1"/>
  <c r="O11" i="5"/>
  <c r="N11" i="5" s="1"/>
  <c r="O12" i="5"/>
  <c r="N12" i="5" s="1"/>
  <c r="O13" i="5"/>
  <c r="N13" i="5" s="1"/>
  <c r="O14" i="5"/>
  <c r="N14" i="5" s="1"/>
  <c r="M14" i="5" l="1"/>
  <c r="M13" i="5"/>
  <c r="M12" i="5"/>
  <c r="M11" i="5"/>
  <c r="M10" i="5"/>
  <c r="M9" i="5"/>
  <c r="M8" i="5"/>
  <c r="M7" i="5"/>
  <c r="M6" i="5"/>
  <c r="M5" i="5"/>
  <c r="L2" i="6" l="1"/>
  <c r="H13" i="6"/>
  <c r="H12" i="6"/>
  <c r="H11" i="6"/>
  <c r="H10" i="6"/>
  <c r="H9" i="6"/>
  <c r="H8" i="6"/>
  <c r="H7" i="6"/>
  <c r="H6" i="6"/>
  <c r="H5" i="6"/>
  <c r="H4" i="6"/>
  <c r="F13" i="6"/>
  <c r="E13" i="6" s="1"/>
  <c r="F12" i="6"/>
  <c r="E12" i="6" s="1"/>
  <c r="F11" i="6"/>
  <c r="E11" i="6" s="1"/>
  <c r="F10" i="6"/>
  <c r="E10" i="6" s="1"/>
  <c r="F9" i="6"/>
  <c r="E9" i="6" s="1"/>
  <c r="F8" i="6"/>
  <c r="E8" i="6" s="1"/>
  <c r="F7" i="6"/>
  <c r="E7" i="6" s="1"/>
  <c r="F6" i="6"/>
  <c r="E6" i="6" s="1"/>
  <c r="F5" i="6"/>
  <c r="E5" i="6" s="1"/>
  <c r="F4" i="6"/>
  <c r="E4" i="6" s="1"/>
  <c r="C5" i="4"/>
  <c r="D5" i="4" s="1"/>
  <c r="F5" i="4"/>
  <c r="E5" i="4" s="1"/>
  <c r="C6" i="4"/>
  <c r="D6" i="4" s="1"/>
  <c r="F6" i="4"/>
  <c r="C7" i="4"/>
  <c r="D7" i="4" s="1"/>
  <c r="F7" i="4"/>
  <c r="C8" i="4"/>
  <c r="D8" i="4" s="1"/>
  <c r="F8" i="4"/>
  <c r="C9" i="4"/>
  <c r="D9" i="4" s="1"/>
  <c r="F9" i="4"/>
  <c r="E9" i="4" s="1"/>
  <c r="C10" i="4"/>
  <c r="D10" i="4" s="1"/>
  <c r="F10" i="4"/>
  <c r="C11" i="4"/>
  <c r="D11" i="4" s="1"/>
  <c r="F11" i="4"/>
  <c r="C12" i="4"/>
  <c r="D12" i="4" s="1"/>
  <c r="F12" i="4"/>
  <c r="C13" i="4"/>
  <c r="D13" i="4" s="1"/>
  <c r="F13" i="4"/>
  <c r="E13" i="4" s="1"/>
  <c r="C14" i="4"/>
  <c r="D14" i="4" s="1"/>
  <c r="F14" i="4"/>
  <c r="E14" i="4" s="1"/>
  <c r="E11" i="4" l="1"/>
  <c r="E6" i="4"/>
  <c r="E10" i="4"/>
  <c r="E7" i="4"/>
  <c r="E12" i="4"/>
  <c r="E8" i="4"/>
</calcChain>
</file>

<file path=xl/sharedStrings.xml><?xml version="1.0" encoding="utf-8"?>
<sst xmlns="http://schemas.openxmlformats.org/spreadsheetml/2006/main" count="106" uniqueCount="16">
  <si>
    <t>0-10</t>
  </si>
  <si>
    <t>11-20</t>
  </si>
  <si>
    <t>21-30</t>
  </si>
  <si>
    <t>31-40</t>
  </si>
  <si>
    <t>41-50</t>
  </si>
  <si>
    <t>51-60</t>
  </si>
  <si>
    <t>61-70</t>
  </si>
  <si>
    <t>71-80</t>
  </si>
  <si>
    <t>81-90</t>
  </si>
  <si>
    <t>91-100</t>
  </si>
  <si>
    <t>Age Group</t>
  </si>
  <si>
    <t>Type</t>
  </si>
  <si>
    <t>Total</t>
  </si>
  <si>
    <t>Male</t>
  </si>
  <si>
    <t>Female</t>
  </si>
  <si>
    <t>In Millions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</si>
</sst>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0" x14ac:knownFonts="1">
    <font>
      <sz val="11"/>
      <color theme="1"/>
      <name val="新細明體"/>
      <family val="2"/>
      <scheme val="minor"/>
    </font>
    <font>
      <b/>
      <sz val="11"/>
      <color theme="0"/>
      <name val="新細明體"/>
      <family val="2"/>
      <scheme val="minor"/>
    </font>
    <font>
      <b/>
      <sz val="11"/>
      <color theme="1"/>
      <name val="新細明體"/>
      <family val="2"/>
      <scheme val="minor"/>
    </font>
    <font>
      <sz val="10"/>
      <name val="Times New Roman"/>
      <family val="1"/>
    </font>
    <font>
      <i/>
      <sz val="11"/>
      <color theme="0" tint="-0.34998626667073579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0"/>
      <color theme="1"/>
      <name val="Tahoma"/>
      <family val="2"/>
    </font>
    <font>
      <sz val="16"/>
      <color theme="9" tint="-0.249977111117893"/>
      <name val="Stencil"/>
      <family val="5"/>
    </font>
    <font>
      <sz val="16"/>
      <color theme="5" tint="-0.249977111117893"/>
      <name val="Stencil"/>
      <family val="5"/>
    </font>
    <font>
      <sz val="12"/>
      <color theme="1"/>
      <name val="Tahoma"/>
      <family val="2"/>
    </font>
    <font>
      <sz val="18"/>
      <color theme="1"/>
      <name val="Tahoma"/>
      <family val="2"/>
    </font>
    <font>
      <sz val="10"/>
      <name val="Tahoma"/>
      <family val="2"/>
    </font>
    <font>
      <i/>
      <sz val="10"/>
      <color theme="0" tint="-0.499984740745262"/>
      <name val="Tahoma"/>
      <family val="2"/>
    </font>
    <font>
      <sz val="8"/>
      <color rgb="FF000000"/>
      <name val="Segoe UI"/>
      <family val="2"/>
    </font>
    <font>
      <sz val="8"/>
      <color theme="1"/>
      <name val="Tahoma"/>
      <family val="2"/>
    </font>
    <font>
      <i/>
      <sz val="10"/>
      <name val="新細明體"/>
      <family val="2"/>
      <scheme val="minor"/>
    </font>
    <font>
      <sz val="16"/>
      <color theme="1"/>
      <name val="新細明體"/>
      <family val="2"/>
      <scheme val="minor"/>
    </font>
    <font>
      <sz val="8"/>
      <color theme="0" tint="-0.249977111117893"/>
      <name val="新細明體"/>
      <family val="2"/>
      <scheme val="minor"/>
    </font>
    <font>
      <sz val="8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FFFFCC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/>
      </left>
      <right/>
      <top style="thin">
        <color theme="4"/>
      </top>
      <bottom style="medium">
        <color theme="4" tint="-0.249977111117893"/>
      </bottom>
      <diagonal/>
    </border>
    <border>
      <left/>
      <right/>
      <top style="thin">
        <color theme="4"/>
      </top>
      <bottom style="medium">
        <color theme="4" tint="-0.249977111117893"/>
      </bottom>
      <diagonal/>
    </border>
    <border>
      <left style="thin">
        <color theme="4" tint="-0.249977111117893"/>
      </left>
      <right/>
      <top style="thin">
        <color theme="4"/>
      </top>
      <bottom style="medium">
        <color theme="4" tint="-0.249977111117893"/>
      </bottom>
      <diagonal/>
    </border>
    <border>
      <left/>
      <right style="thick">
        <color theme="4"/>
      </right>
      <top style="thin">
        <color theme="4"/>
      </top>
      <bottom style="medium">
        <color theme="4" tint="-0.249977111117893"/>
      </bottom>
      <diagonal/>
    </border>
    <border>
      <left style="thin">
        <color theme="4"/>
      </left>
      <right/>
      <top/>
      <bottom/>
      <diagonal/>
    </border>
    <border>
      <left/>
      <right style="thick">
        <color theme="4"/>
      </right>
      <top/>
      <bottom/>
      <diagonal/>
    </border>
    <border>
      <left style="thin">
        <color theme="4"/>
      </left>
      <right/>
      <top/>
      <bottom style="thick">
        <color theme="4"/>
      </bottom>
      <diagonal/>
    </border>
    <border>
      <left style="thin">
        <color theme="4" tint="-0.249977111117893"/>
      </left>
      <right/>
      <top/>
      <bottom style="thick">
        <color theme="4"/>
      </bottom>
      <diagonal/>
    </border>
    <border>
      <left/>
      <right style="thick">
        <color theme="4"/>
      </right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4"/>
      </left>
      <right/>
      <top style="thin">
        <color theme="4"/>
      </top>
      <bottom style="thick">
        <color theme="4"/>
      </bottom>
      <diagonal/>
    </border>
    <border>
      <left/>
      <right/>
      <top style="thin">
        <color theme="4"/>
      </top>
      <bottom style="thick">
        <color theme="4"/>
      </bottom>
      <diagonal/>
    </border>
    <border>
      <left/>
      <right style="thick">
        <color theme="4"/>
      </right>
      <top style="thin">
        <color theme="4"/>
      </top>
      <bottom style="thick">
        <color theme="4"/>
      </bottom>
      <diagonal/>
    </border>
    <border>
      <left/>
      <right style="thin">
        <color theme="4"/>
      </right>
      <top style="thin">
        <color theme="4"/>
      </top>
      <bottom style="thick">
        <color theme="4"/>
      </bottom>
      <diagonal/>
    </border>
    <border>
      <left/>
      <right style="thin">
        <color theme="4"/>
      </right>
      <top/>
      <bottom/>
      <diagonal/>
    </border>
    <border>
      <left/>
      <right style="thin">
        <color theme="4"/>
      </right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5" fillId="4" borderId="18" applyNumberFormat="0" applyFont="0" applyAlignment="0" applyProtection="0"/>
  </cellStyleXfs>
  <cellXfs count="64">
    <xf numFmtId="0" fontId="0" fillId="0" borderId="0" xfId="0"/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6" fontId="0" fillId="2" borderId="5" xfId="0" applyNumberFormat="1" applyFill="1" applyBorder="1" applyAlignment="1">
      <alignment horizontal="center" vertical="center"/>
    </xf>
    <xf numFmtId="176" fontId="0" fillId="2" borderId="7" xfId="0" applyNumberFormat="1" applyFill="1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1" fontId="0" fillId="0" borderId="0" xfId="0" applyNumberFormat="1"/>
    <xf numFmtId="0" fontId="1" fillId="3" borderId="6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49" fontId="2" fillId="2" borderId="5" xfId="0" applyNumberFormat="1" applyFont="1" applyFill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49" fontId="2" fillId="0" borderId="5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0" fontId="0" fillId="0" borderId="0" xfId="0" applyProtection="1">
      <protection locked="0"/>
    </xf>
    <xf numFmtId="0" fontId="4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0" fontId="6" fillId="0" borderId="9" xfId="0" applyFont="1" applyBorder="1" applyAlignment="1" applyProtection="1">
      <alignment horizontal="left"/>
      <protection locked="0"/>
    </xf>
    <xf numFmtId="0" fontId="6" fillId="0" borderId="10" xfId="0" applyFont="1" applyBorder="1" applyAlignment="1" applyProtection="1">
      <alignment horizontal="right"/>
      <protection locked="0"/>
    </xf>
    <xf numFmtId="0" fontId="6" fillId="0" borderId="11" xfId="0" applyFont="1" applyBorder="1" applyAlignment="1" applyProtection="1">
      <alignment horizontal="left"/>
      <protection locked="0"/>
    </xf>
    <xf numFmtId="0" fontId="6" fillId="0" borderId="13" xfId="0" applyFont="1" applyBorder="1" applyProtection="1">
      <protection locked="0"/>
    </xf>
    <xf numFmtId="0" fontId="7" fillId="0" borderId="0" xfId="0" applyFont="1" applyAlignment="1" applyProtection="1">
      <alignment horizontal="right"/>
      <protection locked="0"/>
    </xf>
    <xf numFmtId="0" fontId="8" fillId="0" borderId="8" xfId="0" applyFont="1" applyBorder="1" applyProtection="1">
      <protection locked="0"/>
    </xf>
    <xf numFmtId="0" fontId="6" fillId="0" borderId="15" xfId="0" applyFont="1" applyBorder="1" applyProtection="1">
      <protection locked="0"/>
    </xf>
    <xf numFmtId="0" fontId="7" fillId="0" borderId="1" xfId="0" applyFont="1" applyBorder="1" applyAlignment="1" applyProtection="1">
      <alignment horizontal="right"/>
      <protection locked="0"/>
    </xf>
    <xf numFmtId="0" fontId="8" fillId="0" borderId="16" xfId="0" applyFont="1" applyBorder="1" applyProtection="1">
      <protection locked="0"/>
    </xf>
    <xf numFmtId="2" fontId="12" fillId="0" borderId="0" xfId="0" applyNumberFormat="1" applyFont="1" applyAlignment="1">
      <alignment horizontal="center" vertical="center"/>
    </xf>
    <xf numFmtId="2" fontId="12" fillId="0" borderId="14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2" fontId="12" fillId="0" borderId="17" xfId="0" applyNumberFormat="1" applyFont="1" applyBorder="1" applyAlignment="1">
      <alignment horizontal="center" vertical="center"/>
    </xf>
    <xf numFmtId="2" fontId="12" fillId="0" borderId="14" xfId="0" applyNumberFormat="1" applyFont="1" applyBorder="1" applyAlignment="1" applyProtection="1">
      <alignment horizontal="left" vertical="center"/>
      <protection locked="0"/>
    </xf>
    <xf numFmtId="2" fontId="12" fillId="0" borderId="17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vertical="center"/>
      <protection locked="0"/>
    </xf>
    <xf numFmtId="0" fontId="14" fillId="0" borderId="10" xfId="0" applyFont="1" applyBorder="1" applyAlignment="1" applyProtection="1">
      <alignment horizontal="right"/>
      <protection locked="0"/>
    </xf>
    <xf numFmtId="2" fontId="12" fillId="0" borderId="0" xfId="0" applyNumberFormat="1" applyFont="1" applyAlignment="1" applyProtection="1">
      <alignment horizontal="right" vertical="center"/>
      <protection locked="0"/>
    </xf>
    <xf numFmtId="2" fontId="12" fillId="0" borderId="1" xfId="0" applyNumberFormat="1" applyFont="1" applyBorder="1" applyAlignment="1" applyProtection="1">
      <alignment horizontal="right" vertical="center"/>
      <protection locked="0"/>
    </xf>
    <xf numFmtId="0" fontId="15" fillId="0" borderId="12" xfId="0" applyFont="1" applyBorder="1" applyAlignment="1" applyProtection="1">
      <alignment horizontal="left"/>
      <protection locked="0"/>
    </xf>
    <xf numFmtId="0" fontId="11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6" fillId="4" borderId="25" xfId="2" applyFont="1" applyBorder="1" applyAlignment="1">
      <alignment horizontal="center"/>
    </xf>
    <xf numFmtId="0" fontId="17" fillId="0" borderId="0" xfId="2" applyFont="1" applyFill="1" applyBorder="1" applyAlignment="1">
      <alignment vertical="center"/>
    </xf>
    <xf numFmtId="0" fontId="17" fillId="0" borderId="0" xfId="2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6" fillId="0" borderId="19" xfId="0" applyFont="1" applyBorder="1" applyAlignment="1">
      <alignment horizontal="left" vertical="center"/>
    </xf>
    <xf numFmtId="0" fontId="6" fillId="0" borderId="22" xfId="0" applyFont="1" applyBorder="1" applyAlignment="1">
      <alignment horizontal="right" vertical="center"/>
    </xf>
    <xf numFmtId="0" fontId="6" fillId="0" borderId="20" xfId="0" applyFont="1" applyBorder="1" applyAlignment="1">
      <alignment horizontal="left" vertical="center"/>
    </xf>
    <xf numFmtId="0" fontId="6" fillId="0" borderId="21" xfId="0" applyFont="1" applyBorder="1" applyAlignment="1">
      <alignment horizontal="left" vertical="center"/>
    </xf>
    <xf numFmtId="0" fontId="9" fillId="0" borderId="13" xfId="0" applyFont="1" applyBorder="1" applyAlignment="1">
      <alignment vertical="center"/>
    </xf>
    <xf numFmtId="2" fontId="12" fillId="0" borderId="13" xfId="0" applyNumberFormat="1" applyFont="1" applyBorder="1" applyAlignment="1">
      <alignment horizontal="right" vertical="center"/>
    </xf>
    <xf numFmtId="2" fontId="10" fillId="0" borderId="23" xfId="0" applyNumberFormat="1" applyFont="1" applyBorder="1" applyAlignment="1">
      <alignment horizontal="right" vertical="center"/>
    </xf>
    <xf numFmtId="2" fontId="10" fillId="0" borderId="0" xfId="0" applyNumberFormat="1" applyFont="1" applyAlignment="1">
      <alignment horizontal="left" vertical="center"/>
    </xf>
    <xf numFmtId="2" fontId="12" fillId="0" borderId="14" xfId="0" applyNumberFormat="1" applyFont="1" applyBorder="1" applyAlignment="1">
      <alignment horizontal="left" vertical="center"/>
    </xf>
    <xf numFmtId="0" fontId="9" fillId="0" borderId="15" xfId="0" applyFont="1" applyBorder="1" applyAlignment="1">
      <alignment vertical="center"/>
    </xf>
    <xf numFmtId="2" fontId="12" fillId="0" borderId="15" xfId="0" applyNumberFormat="1" applyFont="1" applyBorder="1" applyAlignment="1">
      <alignment horizontal="right" vertical="center"/>
    </xf>
    <xf numFmtId="2" fontId="10" fillId="0" borderId="24" xfId="0" applyNumberFormat="1" applyFont="1" applyBorder="1" applyAlignment="1">
      <alignment horizontal="right" vertical="center"/>
    </xf>
    <xf numFmtId="2" fontId="12" fillId="0" borderId="17" xfId="0" applyNumberFormat="1" applyFont="1" applyBorder="1" applyAlignment="1">
      <alignment horizontal="left" vertical="center"/>
    </xf>
  </cellXfs>
  <cellStyles count="3">
    <cellStyle name="Normal 2" xfId="1" xr:uid="{00000000-0005-0000-0000-000001000000}"/>
    <cellStyle name="一般" xfId="0" builtinId="0"/>
    <cellStyle name="備註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'Using Bar Chart'!$N$4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numFmt formatCode="#,##0.00;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'Using Bar Chart'!$L$5:$L$14</c:f>
              <c:strCache>
                <c:ptCount val="10"/>
                <c:pt idx="0">
                  <c:v>91-100</c:v>
                </c:pt>
                <c:pt idx="1">
                  <c:v>81-90</c:v>
                </c:pt>
                <c:pt idx="2">
                  <c:v>71-80</c:v>
                </c:pt>
                <c:pt idx="3">
                  <c:v>61-70</c:v>
                </c:pt>
                <c:pt idx="4">
                  <c:v>51-60</c:v>
                </c:pt>
                <c:pt idx="5">
                  <c:v>41-50</c:v>
                </c:pt>
                <c:pt idx="6">
                  <c:v>31-40</c:v>
                </c:pt>
                <c:pt idx="7">
                  <c:v>21-30</c:v>
                </c:pt>
                <c:pt idx="8">
                  <c:v>11-20</c:v>
                </c:pt>
                <c:pt idx="9">
                  <c:v>0-10</c:v>
                </c:pt>
              </c:strCache>
            </c:strRef>
          </c:cat>
          <c:val>
            <c:numRef>
              <c:f>'Using Bar Chart'!$N$5:$N$14</c:f>
              <c:numCache>
                <c:formatCode>0.00</c:formatCode>
                <c:ptCount val="10"/>
                <c:pt idx="0">
                  <c:v>-1.3478829999999999</c:v>
                </c:pt>
                <c:pt idx="1">
                  <c:v>-5.3918160000000004</c:v>
                </c:pt>
                <c:pt idx="2">
                  <c:v>-10.148205000000003</c:v>
                </c:pt>
                <c:pt idx="3">
                  <c:v>-17.634257000000005</c:v>
                </c:pt>
                <c:pt idx="4">
                  <c:v>-22.483276999999998</c:v>
                </c:pt>
                <c:pt idx="5">
                  <c:v>-20.875575999999999</c:v>
                </c:pt>
                <c:pt idx="6">
                  <c:v>-20.732206000000001</c:v>
                </c:pt>
                <c:pt idx="7">
                  <c:v>-22.146789999999996</c:v>
                </c:pt>
                <c:pt idx="8">
                  <c:v>-20.481379</c:v>
                </c:pt>
                <c:pt idx="9">
                  <c:v>-21.782436999999994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45-4F3B-870D-66770CDCAF7E}"/>
            </c:ext>
          </c:extLst>
        </c:ser>
        <c:ser>
          <c:idx val="1"/>
          <c:order val="1"/>
          <c:tx>
            <c:strRef>
              <c:f>'Using Bar Chart'!$O$4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'Using Bar Chart'!$L$5:$L$14</c:f>
              <c:strCache>
                <c:ptCount val="10"/>
                <c:pt idx="0">
                  <c:v>91-100</c:v>
                </c:pt>
                <c:pt idx="1">
                  <c:v>81-90</c:v>
                </c:pt>
                <c:pt idx="2">
                  <c:v>71-80</c:v>
                </c:pt>
                <c:pt idx="3">
                  <c:v>61-70</c:v>
                </c:pt>
                <c:pt idx="4">
                  <c:v>51-60</c:v>
                </c:pt>
                <c:pt idx="5">
                  <c:v>41-50</c:v>
                </c:pt>
                <c:pt idx="6">
                  <c:v>31-40</c:v>
                </c:pt>
                <c:pt idx="7">
                  <c:v>21-30</c:v>
                </c:pt>
                <c:pt idx="8">
                  <c:v>11-20</c:v>
                </c:pt>
                <c:pt idx="9">
                  <c:v>0-10</c:v>
                </c:pt>
              </c:strCache>
            </c:strRef>
          </c:cat>
          <c:val>
            <c:numRef>
              <c:f>'Using Bar Chart'!$O$5:$O$14</c:f>
              <c:numCache>
                <c:formatCode>0.00</c:formatCode>
                <c:ptCount val="10"/>
                <c:pt idx="0">
                  <c:v>0.55673399999999995</c:v>
                </c:pt>
                <c:pt idx="1">
                  <c:v>3.4618199999999999</c:v>
                </c:pt>
                <c:pt idx="2">
                  <c:v>8.3362479999999994</c:v>
                </c:pt>
                <c:pt idx="3">
                  <c:v>15.917311</c:v>
                </c:pt>
                <c:pt idx="4">
                  <c:v>21.375198000000001</c:v>
                </c:pt>
                <c:pt idx="5">
                  <c:v>20.528744</c:v>
                </c:pt>
                <c:pt idx="6">
                  <c:v>20.839707000000001</c:v>
                </c:pt>
                <c:pt idx="7">
                  <c:v>23.121248000000001</c:v>
                </c:pt>
                <c:pt idx="8">
                  <c:v>21.446304000000001</c:v>
                </c:pt>
                <c:pt idx="9">
                  <c:v>22.761724000000001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45-4F3B-870D-66770CDCAF7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446209176"/>
        <c:axId val="564501320"/>
      </c:barChart>
      <c:catAx>
        <c:axId val="44620917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64501320"/>
        <c:crosses val="autoZero"/>
        <c:auto val="1"/>
        <c:lblAlgn val="ctr"/>
        <c:lblOffset val="100"/>
        <c:noMultiLvlLbl val="0"/>
      </c:catAx>
      <c:valAx>
        <c:axId val="564501320"/>
        <c:scaling>
          <c:orientation val="minMax"/>
        </c:scaling>
        <c:delete val="1"/>
        <c:axPos val="t"/>
        <c:numFmt formatCode="#,##0_);\(#,##0\)" sourceLinked="0"/>
        <c:majorTickMark val="out"/>
        <c:minorTickMark val="none"/>
        <c:tickLblPos val="nextTo"/>
        <c:crossAx val="446209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J$2" lockText="1"/>
</file>

<file path=xl/ctrlProps/ctrlProp2.xml><?xml version="1.0" encoding="utf-8"?>
<formControlPr xmlns="http://schemas.microsoft.com/office/spreadsheetml/2009/9/main" objectType="CheckBox" fmlaLink="$J$2" lockText="1"/>
</file>

<file path=xl/ctrlProps/ctrlProp3.xml><?xml version="1.0" encoding="utf-8"?>
<formControlPr xmlns="http://schemas.microsoft.com/office/spreadsheetml/2009/9/main" objectType="CheckBox" fmlaLink="$J$2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666750</xdr:colOff>
      <xdr:row>3</xdr:row>
      <xdr:rowOff>85725</xdr:rowOff>
    </xdr:from>
    <xdr:to>
      <xdr:col>9</xdr:col>
      <xdr:colOff>895350</xdr:colOff>
      <xdr:row>5</xdr:row>
      <xdr:rowOff>180975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 flipV="1">
          <a:off x="7772400" y="733425"/>
          <a:ext cx="228600" cy="523875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561975</xdr:colOff>
          <xdr:row>13</xdr:row>
          <xdr:rowOff>171450</xdr:rowOff>
        </xdr:from>
        <xdr:to>
          <xdr:col>3</xdr:col>
          <xdr:colOff>76200</xdr:colOff>
          <xdr:row>15</xdr:row>
          <xdr:rowOff>161925</xdr:rowOff>
        </xdr:to>
        <xdr:sp macro="" textlink="">
          <xdr:nvSpPr>
            <xdr:cNvPr id="4100" name="Check Box 4" descr="Anima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TW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Animation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</xdr:row>
      <xdr:rowOff>114300</xdr:rowOff>
    </xdr:from>
    <xdr:to>
      <xdr:col>6</xdr:col>
      <xdr:colOff>9525</xdr:colOff>
      <xdr:row>2</xdr:row>
      <xdr:rowOff>247650</xdr:rowOff>
    </xdr:to>
    <xdr:sp macro="" textlink="$M$3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09600" y="304800"/>
          <a:ext cx="6038850" cy="323850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920E364-2987-4169-9285-54353C9E1636}" type="TxLink">
            <a:rPr lang="en-US" sz="18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</a:rPr>
            <a:pPr algn="ctr"/>
            <a:t>US Population In Year 2014</a:t>
          </a:fld>
          <a:endParaRPr lang="en-US" sz="48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419100</xdr:colOff>
      <xdr:row>6</xdr:row>
      <xdr:rowOff>47625</xdr:rowOff>
    </xdr:from>
    <xdr:to>
      <xdr:col>11</xdr:col>
      <xdr:colOff>161925</xdr:colOff>
      <xdr:row>8</xdr:row>
      <xdr:rowOff>180975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7524750" y="1314450"/>
          <a:ext cx="1219200" cy="5143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Use Drop</a:t>
          </a:r>
          <a:r>
            <a:rPr lang="en-US" sz="1100" baseline="0"/>
            <a:t>down list to filter.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0</xdr:row>
      <xdr:rowOff>95250</xdr:rowOff>
    </xdr:from>
    <xdr:to>
      <xdr:col>7</xdr:col>
      <xdr:colOff>609599</xdr:colOff>
      <xdr:row>2</xdr:row>
      <xdr:rowOff>0</xdr:rowOff>
    </xdr:to>
    <xdr:sp macro="" textlink="$L$2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28799" y="95250"/>
          <a:ext cx="581977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EC66106-5412-430D-8624-A727EF8B4354}" type="TxLink">
            <a:rPr lang="en-US" sz="18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</a:rPr>
            <a:pPr algn="ctr"/>
            <a:t>US Population In Year 2014</a:t>
          </a:fld>
          <a:endParaRPr lang="en-US" sz="18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0</xdr:row>
          <xdr:rowOff>57150</xdr:rowOff>
        </xdr:from>
        <xdr:to>
          <xdr:col>5</xdr:col>
          <xdr:colOff>152400</xdr:colOff>
          <xdr:row>2</xdr:row>
          <xdr:rowOff>0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TW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Animation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857250</xdr:colOff>
      <xdr:row>3</xdr:row>
      <xdr:rowOff>95250</xdr:rowOff>
    </xdr:from>
    <xdr:to>
      <xdr:col>9</xdr:col>
      <xdr:colOff>1114425</xdr:colOff>
      <xdr:row>6</xdr:row>
      <xdr:rowOff>123825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H="1" flipV="1">
          <a:off x="8591550" y="752475"/>
          <a:ext cx="257175" cy="800100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676275</xdr:colOff>
      <xdr:row>6</xdr:row>
      <xdr:rowOff>104775</xdr:rowOff>
    </xdr:from>
    <xdr:to>
      <xdr:col>10</xdr:col>
      <xdr:colOff>561975</xdr:colOff>
      <xdr:row>8</xdr:row>
      <xdr:rowOff>104775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8410575" y="1533525"/>
          <a:ext cx="1162050" cy="5143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Use Drop</a:t>
          </a:r>
          <a:r>
            <a:rPr lang="en-US" sz="1100" baseline="0"/>
            <a:t>down list to filter.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66674</xdr:colOff>
      <xdr:row>1</xdr:row>
      <xdr:rowOff>247650</xdr:rowOff>
    </xdr:from>
    <xdr:to>
      <xdr:col>8</xdr:col>
      <xdr:colOff>352425</xdr:colOff>
      <xdr:row>17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14</xdr:row>
          <xdr:rowOff>190500</xdr:rowOff>
        </xdr:from>
        <xdr:to>
          <xdr:col>2</xdr:col>
          <xdr:colOff>361950</xdr:colOff>
          <xdr:row>16</xdr:row>
          <xdr:rowOff>47625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TW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Animation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685800</xdr:colOff>
      <xdr:row>3</xdr:row>
      <xdr:rowOff>57150</xdr:rowOff>
    </xdr:from>
    <xdr:to>
      <xdr:col>9</xdr:col>
      <xdr:colOff>942975</xdr:colOff>
      <xdr:row>7</xdr:row>
      <xdr:rowOff>85725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 flipH="1" flipV="1">
          <a:off x="6143625" y="781050"/>
          <a:ext cx="257175" cy="800100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381000</xdr:colOff>
      <xdr:row>7</xdr:row>
      <xdr:rowOff>95250</xdr:rowOff>
    </xdr:from>
    <xdr:to>
      <xdr:col>10</xdr:col>
      <xdr:colOff>390525</xdr:colOff>
      <xdr:row>10</xdr:row>
      <xdr:rowOff>38100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838825" y="1590675"/>
          <a:ext cx="1219200" cy="5143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Use Drop</a:t>
          </a:r>
          <a:r>
            <a:rPr lang="en-US" sz="1100" baseline="0"/>
            <a:t>down list to filter.</a:t>
          </a:r>
          <a:endParaRPr lang="en-US" sz="1100"/>
        </a:p>
      </xdr:txBody>
    </xdr:sp>
    <xdr:clientData/>
  </xdr:twoCellAnchor>
  <xdr:twoCellAnchor>
    <xdr:from>
      <xdr:col>0</xdr:col>
      <xdr:colOff>66675</xdr:colOff>
      <xdr:row>0</xdr:row>
      <xdr:rowOff>57150</xdr:rowOff>
    </xdr:from>
    <xdr:to>
      <xdr:col>8</xdr:col>
      <xdr:colOff>352425</xdr:colOff>
      <xdr:row>1</xdr:row>
      <xdr:rowOff>228600</xdr:rowOff>
    </xdr:to>
    <xdr:sp macro="" textlink="$K$2">
      <xdr:nvSpPr>
        <xdr:cNvPr id="11" name="TextBox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66675" y="57150"/>
          <a:ext cx="5133975" cy="361950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452F22B-D59A-4C02-A926-BFE59F889291}" type="TxLink">
            <a:rPr lang="en-US" sz="18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</a:rPr>
            <a:pPr algn="ctr"/>
            <a:t>US Population In Year 2015</a:t>
          </a:fld>
          <a:endParaRPr lang="en-US" sz="48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15"/>
  <sheetViews>
    <sheetView showGridLines="0" topLeftCell="A2" zoomScale="130" zoomScaleNormal="130" workbookViewId="0">
      <selection activeCell="J3" sqref="J3"/>
    </sheetView>
  </sheetViews>
  <sheetFormatPr defaultRowHeight="15.75" x14ac:dyDescent="0.25"/>
  <cols>
    <col min="1" max="1" width="9.140625" style="19"/>
    <col min="2" max="2" width="9.5703125" style="19" bestFit="1" customWidth="1"/>
    <col min="3" max="3" width="7.5703125" style="19" bestFit="1" customWidth="1"/>
    <col min="4" max="4" width="33.7109375" style="19" customWidth="1"/>
    <col min="5" max="5" width="34.7109375" style="19" customWidth="1"/>
    <col min="6" max="6" width="9.42578125" style="20" bestFit="1" customWidth="1"/>
    <col min="7" max="7" width="2.42578125" style="19" customWidth="1"/>
    <col min="8" max="8" width="2.85546875" style="19" customWidth="1"/>
    <col min="9" max="9" width="1.7109375" style="19" customWidth="1"/>
    <col min="10" max="10" width="17.28515625" style="19" customWidth="1"/>
    <col min="11" max="11" width="4.85546875" style="19" bestFit="1" customWidth="1"/>
    <col min="12" max="12" width="5" style="19" bestFit="1" customWidth="1"/>
    <col min="13" max="16384" width="9.140625" style="19"/>
  </cols>
  <sheetData>
    <row r="1" spans="2:13" x14ac:dyDescent="0.25">
      <c r="J1" s="37"/>
      <c r="K1" s="37"/>
      <c r="L1" s="21"/>
    </row>
    <row r="2" spans="2:13" x14ac:dyDescent="0.25">
      <c r="I2"/>
      <c r="J2" s="48" t="b">
        <v>0</v>
      </c>
      <c r="L2" s="21"/>
    </row>
    <row r="3" spans="2:13" ht="21" x14ac:dyDescent="0.3">
      <c r="J3" s="47">
        <v>2014</v>
      </c>
      <c r="M3" s="48" t="str">
        <f>"US Population In Year "&amp;J3</f>
        <v>US Population In Year 2014</v>
      </c>
    </row>
    <row r="4" spans="2:13" ht="16.5" thickBot="1" x14ac:dyDescent="0.3">
      <c r="B4" s="22" t="s">
        <v>10</v>
      </c>
      <c r="C4" s="38" t="s">
        <v>15</v>
      </c>
      <c r="D4" s="23" t="s">
        <v>14</v>
      </c>
      <c r="E4" s="24" t="s">
        <v>13</v>
      </c>
      <c r="F4" s="41" t="s">
        <v>15</v>
      </c>
    </row>
    <row r="5" spans="2:13" ht="18" customHeight="1" x14ac:dyDescent="0.35">
      <c r="B5" s="25" t="s">
        <v>9</v>
      </c>
      <c r="C5" s="39">
        <f>IFERROR(VLOOKUP('Using In-Cell Method'!$B5,Data!$A$22:$AW$31,MATCH($J$3,Data!$A$1:$AW$1,0),0),"")</f>
        <v>1.2983350000000002</v>
      </c>
      <c r="D5" s="26" t="str">
        <f>IFERROR(REPT("|",'Using In-Cell Method'!$C5*4),"")</f>
        <v>|||||</v>
      </c>
      <c r="E5" s="27" t="str">
        <f>IFERROR(REPT("|",'Using In-Cell Method'!$F5*4),"")</f>
        <v>||</v>
      </c>
      <c r="F5" s="35">
        <f>IFERROR(VLOOKUP('Using In-Cell Method'!$B5,Data!$A$12:$AW$21,MATCH($J$3,Data!$A$1:$AW$1,0),0),"")</f>
        <v>0.52527500000000005</v>
      </c>
    </row>
    <row r="6" spans="2:13" ht="15" customHeight="1" x14ac:dyDescent="0.35">
      <c r="B6" s="25" t="s">
        <v>8</v>
      </c>
      <c r="C6" s="39">
        <f>IFERROR(VLOOKUP('Using In-Cell Method'!$B6,Data!$A$22:$AW$31,MATCH($J$3,Data!$A$1:$AW$1,0),0),"")</f>
        <v>5.4121509999999979</v>
      </c>
      <c r="D6" s="26" t="str">
        <f>IFERROR(REPT("|",'Using In-Cell Method'!$C6*4),"")</f>
        <v>|||||||||||||||||||||</v>
      </c>
      <c r="E6" s="27" t="str">
        <f>IFERROR(REPT("|",'Using In-Cell Method'!$F6*4),"")</f>
        <v>|||||||||||||</v>
      </c>
      <c r="F6" s="35">
        <f>IFERROR(VLOOKUP('Using In-Cell Method'!$B6,Data!$A$12:$AW$21,MATCH($J$3,Data!$A$1:$AW$1,0),0),"")</f>
        <v>3.425414</v>
      </c>
    </row>
    <row r="7" spans="2:13" ht="15" customHeight="1" x14ac:dyDescent="0.35">
      <c r="B7" s="25" t="s">
        <v>7</v>
      </c>
      <c r="C7" s="39">
        <f>IFERROR(VLOOKUP('Using In-Cell Method'!$B7,Data!$A$22:$AW$31,MATCH($J$3,Data!$A$1:$AW$1,0),0),"")</f>
        <v>9.7854149999999986</v>
      </c>
      <c r="D7" s="26" t="str">
        <f>IFERROR(REPT("|",'Using In-Cell Method'!$C7*4),"")</f>
        <v>|||||||||||||||||||||||||||||||||||||||</v>
      </c>
      <c r="E7" s="27" t="str">
        <f>IFERROR(REPT("|",'Using In-Cell Method'!$F7*4),"")</f>
        <v>||||||||||||||||||||||||||||||||</v>
      </c>
      <c r="F7" s="35">
        <f>IFERROR(VLOOKUP('Using In-Cell Method'!$B7,Data!$A$12:$AW$21,MATCH($J$3,Data!$A$1:$AW$1,0),0),"")</f>
        <v>8.0047540000000001</v>
      </c>
    </row>
    <row r="8" spans="2:13" ht="15" customHeight="1" x14ac:dyDescent="0.35">
      <c r="B8" s="25" t="s">
        <v>6</v>
      </c>
      <c r="C8" s="39">
        <f>IFERROR(VLOOKUP('Using In-Cell Method'!$B8,Data!$A$22:$AW$31,MATCH($J$3,Data!$A$1:$AW$1,0),0),"")</f>
        <v>17.014035</v>
      </c>
      <c r="D8" s="26" t="str">
        <f>IFERROR(REPT("|",'Using In-Cell Method'!$C8*4),"")</f>
        <v>||||||||||||||||||||||||||||||||||||||||||||||||||||||||||||||||||||</v>
      </c>
      <c r="E8" s="27" t="str">
        <f>IFERROR(REPT("|",'Using In-Cell Method'!$F8*4),"")</f>
        <v>|||||||||||||||||||||||||||||||||||||||||||||||||||||||||||||</v>
      </c>
      <c r="F8" s="35">
        <f>IFERROR(VLOOKUP('Using In-Cell Method'!$B8,Data!$A$12:$AW$21,MATCH($J$3,Data!$A$1:$AW$1,0),0),"")</f>
        <v>15.373585</v>
      </c>
    </row>
    <row r="9" spans="2:13" ht="15" customHeight="1" x14ac:dyDescent="0.35">
      <c r="B9" s="25" t="s">
        <v>5</v>
      </c>
      <c r="C9" s="39">
        <f>IFERROR(VLOOKUP('Using In-Cell Method'!$B9,Data!$A$22:$AW$31,MATCH($J$3,Data!$A$1:$AW$1,0),0),"")</f>
        <v>22.339004000000003</v>
      </c>
      <c r="D9" s="26" t="str">
        <f>IFERROR(REPT("|",'Using In-Cell Method'!$C9*4),"")</f>
        <v>|||||||||||||||||||||||||||||||||||||||||||||||||||||||||||||||||||||||||||||||||||||||||</v>
      </c>
      <c r="E9" s="27" t="str">
        <f>IFERROR(REPT("|",'Using In-Cell Method'!$F9*4),"")</f>
        <v>||||||||||||||||||||||||||||||||||||||||||||||||||||||||||||||||||||||||||||||||||||</v>
      </c>
      <c r="F9" s="35">
        <f>IFERROR(VLOOKUP('Using In-Cell Method'!$B9,Data!$A$12:$AW$21,MATCH($J$3,Data!$A$1:$AW$1,0),0),"")</f>
        <v>21.216904</v>
      </c>
    </row>
    <row r="10" spans="2:13" ht="15" customHeight="1" x14ac:dyDescent="0.35">
      <c r="B10" s="25" t="s">
        <v>4</v>
      </c>
      <c r="C10" s="39">
        <f>IFERROR(VLOOKUP('Using In-Cell Method'!$B10,Data!$A$22:$AW$31,MATCH($J$3,Data!$A$1:$AW$1,0),0),"")</f>
        <v>21.206810999999995</v>
      </c>
      <c r="D10" s="26" t="str">
        <f>IFERROR(REPT("|",'Using In-Cell Method'!$C10*4),"")</f>
        <v>||||||||||||||||||||||||||||||||||||||||||||||||||||||||||||||||||||||||||||||||||||</v>
      </c>
      <c r="E10" s="27" t="str">
        <f>IFERROR(REPT("|",'Using In-Cell Method'!$F10*4),"")</f>
        <v>|||||||||||||||||||||||||||||||||||||||||||||||||||||||||||||||||||||||||||||||||||</v>
      </c>
      <c r="F10" s="35">
        <f>IFERROR(VLOOKUP('Using In-Cell Method'!$B10,Data!$A$12:$AW$21,MATCH($J$3,Data!$A$1:$AW$1,0),0),"")</f>
        <v>20.838602000000002</v>
      </c>
    </row>
    <row r="11" spans="2:13" ht="15" customHeight="1" x14ac:dyDescent="0.35">
      <c r="B11" s="25" t="s">
        <v>3</v>
      </c>
      <c r="C11" s="39">
        <f>IFERROR(VLOOKUP('Using In-Cell Method'!$B11,Data!$A$22:$AW$31,MATCH($J$3,Data!$A$1:$AW$1,0),0),"")</f>
        <v>20.480505999999995</v>
      </c>
      <c r="D11" s="26" t="str">
        <f>IFERROR(REPT("|",'Using In-Cell Method'!$C11*4),"")</f>
        <v>|||||||||||||||||||||||||||||||||||||||||||||||||||||||||||||||||||||||||||||||||</v>
      </c>
      <c r="E11" s="27" t="str">
        <f>IFERROR(REPT("|",'Using In-Cell Method'!$F11*4),"")</f>
        <v>||||||||||||||||||||||||||||||||||||||||||||||||||||||||||||||||||||||||||||||||||</v>
      </c>
      <c r="F11" s="35">
        <f>IFERROR(VLOOKUP('Using In-Cell Method'!$B11,Data!$A$12:$AW$21,MATCH($J$3,Data!$A$1:$AW$1,0),0),"")</f>
        <v>20.538098000000002</v>
      </c>
    </row>
    <row r="12" spans="2:13" ht="15" customHeight="1" x14ac:dyDescent="0.35">
      <c r="B12" s="25" t="s">
        <v>2</v>
      </c>
      <c r="C12" s="39">
        <f>IFERROR(VLOOKUP('Using In-Cell Method'!$B12,Data!$A$22:$AW$31,MATCH($J$3,Data!$A$1:$AW$1,0),0),"")</f>
        <v>21.921122</v>
      </c>
      <c r="D12" s="26" t="str">
        <f>IFERROR(REPT("|",'Using In-Cell Method'!$C12*4),"")</f>
        <v>|||||||||||||||||||||||||||||||||||||||||||||||||||||||||||||||||||||||||||||||||||||||</v>
      </c>
      <c r="E12" s="27" t="str">
        <f>IFERROR(REPT("|",'Using In-Cell Method'!$F12*4),"")</f>
        <v>|||||||||||||||||||||||||||||||||||||||||||||||||||||||||||||||||||||||||||||||||||||||||||</v>
      </c>
      <c r="F12" s="35">
        <f>IFERROR(VLOOKUP('Using In-Cell Method'!$B12,Data!$A$12:$AW$21,MATCH($J$3,Data!$A$1:$AW$1,0),0),"")</f>
        <v>22.816351000000001</v>
      </c>
    </row>
    <row r="13" spans="2:13" ht="15" customHeight="1" x14ac:dyDescent="0.35">
      <c r="B13" s="25" t="s">
        <v>1</v>
      </c>
      <c r="C13" s="39">
        <f>IFERROR(VLOOKUP('Using In-Cell Method'!$B13,Data!$A$22:$AW$31,MATCH($J$3,Data!$A$1:$AW$1,0),0),"")</f>
        <v>20.511984999999999</v>
      </c>
      <c r="D13" s="26" t="str">
        <f>IFERROR(REPT("|",'Using In-Cell Method'!$C13*4),"")</f>
        <v>||||||||||||||||||||||||||||||||||||||||||||||||||||||||||||||||||||||||||||||||||</v>
      </c>
      <c r="E13" s="27" t="str">
        <f>IFERROR(REPT("|",'Using In-Cell Method'!$F13*4),"")</f>
        <v>||||||||||||||||||||||||||||||||||||||||||||||||||||||||||||||||||||||||||||||||||||||</v>
      </c>
      <c r="F13" s="35">
        <f>IFERROR(VLOOKUP('Using In-Cell Method'!$B13,Data!$A$12:$AW$21,MATCH($J$3,Data!$A$1:$AW$1,0),0),"")</f>
        <v>21.506364000000001</v>
      </c>
    </row>
    <row r="14" spans="2:13" ht="15" customHeight="1" thickBot="1" x14ac:dyDescent="0.4">
      <c r="B14" s="28" t="s">
        <v>0</v>
      </c>
      <c r="C14" s="40">
        <f>IFERROR(VLOOKUP('Using In-Cell Method'!$B14,Data!$A$22:$AW$31,MATCH($J$3,Data!$A$1:$AW$1,0),0),"")</f>
        <v>21.779051000000003</v>
      </c>
      <c r="D14" s="29" t="str">
        <f>IFERROR(REPT("|",'Using In-Cell Method'!$C14*4),"")</f>
        <v>|||||||||||||||||||||||||||||||||||||||||||||||||||||||||||||||||||||||||||||||||||||||</v>
      </c>
      <c r="E14" s="30" t="str">
        <f>IFERROR(REPT("|",'Using In-Cell Method'!$F14*4),"")</f>
        <v>|||||||||||||||||||||||||||||||||||||||||||||||||||||||||||||||||||||||||||||||||||||||||||</v>
      </c>
      <c r="F14" s="36">
        <f>IFERROR(VLOOKUP('Using In-Cell Method'!$B14,Data!$A$12:$AW$21,MATCH($J$3,Data!$A$1:$AW$1,0),0),"")</f>
        <v>22.754255000000001</v>
      </c>
    </row>
    <row r="15" spans="2:13" ht="16.5" thickTop="1" x14ac:dyDescent="0.25"/>
  </sheetData>
  <phoneticPr fontId="19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heck Box 4">
              <controlPr defaultSize="0" autoFill="0" autoLine="0" autoPict="0" macro="[0]!Sheet1.InCellMethod" altText="Animation">
                <anchor moveWithCells="1">
                  <from>
                    <xdr:col>0</xdr:col>
                    <xdr:colOff>561975</xdr:colOff>
                    <xdr:row>13</xdr:row>
                    <xdr:rowOff>171450</xdr:rowOff>
                  </from>
                  <to>
                    <xdr:col>3</xdr:col>
                    <xdr:colOff>76200</xdr:colOff>
                    <xdr:row>15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xr:uid="{00000000-0002-0000-0000-000000000000}">
          <x14:formula1>
            <xm:f>Data!$C$1:$AW$1</xm:f>
          </x14:formula1>
          <xm:sqref>J3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D2:N14"/>
  <sheetViews>
    <sheetView showGridLines="0" workbookViewId="0">
      <selection activeCell="J13" sqref="J13"/>
    </sheetView>
  </sheetViews>
  <sheetFormatPr defaultRowHeight="15.75" x14ac:dyDescent="0.25"/>
  <cols>
    <col min="4" max="4" width="9.5703125" bestFit="1" customWidth="1"/>
    <col min="5" max="5" width="9.140625" bestFit="1" customWidth="1"/>
    <col min="6" max="6" width="36.85546875" style="8" customWidth="1"/>
    <col min="7" max="7" width="36.85546875" style="9" customWidth="1"/>
    <col min="8" max="8" width="9.140625" style="9" bestFit="1" customWidth="1"/>
    <col min="9" max="9" width="1.28515625" customWidth="1"/>
    <col min="10" max="10" width="19.140625" customWidth="1"/>
  </cols>
  <sheetData>
    <row r="2" spans="4:14" x14ac:dyDescent="0.25">
      <c r="J2" s="48" t="b">
        <v>0</v>
      </c>
      <c r="K2" s="50"/>
      <c r="L2" s="49" t="str">
        <f>"US Population In Year "&amp;J3</f>
        <v>US Population In Year 2014</v>
      </c>
    </row>
    <row r="3" spans="4:14" ht="21.75" thickBot="1" x14ac:dyDescent="0.35">
      <c r="D3" s="51" t="s">
        <v>10</v>
      </c>
      <c r="E3" s="51" t="s">
        <v>15</v>
      </c>
      <c r="F3" s="52" t="s">
        <v>14</v>
      </c>
      <c r="G3" s="53" t="s">
        <v>13</v>
      </c>
      <c r="H3" s="54" t="s">
        <v>15</v>
      </c>
      <c r="J3" s="47">
        <v>2014</v>
      </c>
    </row>
    <row r="4" spans="4:14" ht="20.25" customHeight="1" thickTop="1" x14ac:dyDescent="0.25">
      <c r="D4" s="55" t="s">
        <v>9</v>
      </c>
      <c r="E4" s="56">
        <f>F4</f>
        <v>1.2983350000000002</v>
      </c>
      <c r="F4" s="57">
        <f>VLOOKUP(D4,Data!$A$22:$AW$31,MATCH('Using Conditional Formatting'!$J$3,Data!$A$1:$AW$1,0),0)</f>
        <v>1.2983350000000002</v>
      </c>
      <c r="G4" s="58">
        <f>VLOOKUP(D4,Data!$A$12:$AW21,MATCH('Using Conditional Formatting'!$J$3,Data!$A$1:$AW$1,0),0)</f>
        <v>0.52527500000000005</v>
      </c>
      <c r="H4" s="59">
        <f>G4</f>
        <v>0.52527500000000005</v>
      </c>
    </row>
    <row r="5" spans="4:14" ht="20.25" customHeight="1" x14ac:dyDescent="0.25">
      <c r="D5" s="55" t="s">
        <v>8</v>
      </c>
      <c r="E5" s="56">
        <f t="shared" ref="E5:E13" si="0">F5</f>
        <v>5.4121509999999979</v>
      </c>
      <c r="F5" s="57">
        <f>VLOOKUP(D5,Data!$A$22:$AW$31,MATCH('Using Conditional Formatting'!$J$3,Data!$A$1:$AW$1,0),0)</f>
        <v>5.4121509999999979</v>
      </c>
      <c r="G5" s="58">
        <f>VLOOKUP(D5,Data!$A$12:$AW22,MATCH('Using Conditional Formatting'!$J$3,Data!$A$1:$AW$1,0),0)</f>
        <v>3.425414</v>
      </c>
      <c r="H5" s="59">
        <f t="shared" ref="H5:H13" si="1">G5</f>
        <v>3.425414</v>
      </c>
    </row>
    <row r="6" spans="4:14" ht="20.25" customHeight="1" x14ac:dyDescent="0.25">
      <c r="D6" s="55" t="s">
        <v>7</v>
      </c>
      <c r="E6" s="56">
        <f t="shared" si="0"/>
        <v>9.7854149999999986</v>
      </c>
      <c r="F6" s="57">
        <f>VLOOKUP(D6,Data!$A$22:$AW$31,MATCH('Using Conditional Formatting'!$J$3,Data!$A$1:$AW$1,0),0)</f>
        <v>9.7854149999999986</v>
      </c>
      <c r="G6" s="58">
        <f>VLOOKUP(D6,Data!$A$12:$AW23,MATCH('Using Conditional Formatting'!$J$3,Data!$A$1:$AW$1,0),0)</f>
        <v>8.0047540000000001</v>
      </c>
      <c r="H6" s="59">
        <f t="shared" si="1"/>
        <v>8.0047540000000001</v>
      </c>
    </row>
    <row r="7" spans="4:14" ht="20.25" customHeight="1" x14ac:dyDescent="0.25">
      <c r="D7" s="55" t="s">
        <v>6</v>
      </c>
      <c r="E7" s="56">
        <f t="shared" si="0"/>
        <v>17.014035</v>
      </c>
      <c r="F7" s="57">
        <f>VLOOKUP(D7,Data!$A$22:$AW$31,MATCH('Using Conditional Formatting'!$J$3,Data!$A$1:$AW$1,0),0)</f>
        <v>17.014035</v>
      </c>
      <c r="G7" s="58">
        <f>VLOOKUP(D7,Data!$A$12:$AW24,MATCH('Using Conditional Formatting'!$J$3,Data!$A$1:$AW$1,0),0)</f>
        <v>15.373585</v>
      </c>
      <c r="H7" s="59">
        <f t="shared" si="1"/>
        <v>15.373585</v>
      </c>
    </row>
    <row r="8" spans="4:14" ht="20.25" customHeight="1" x14ac:dyDescent="0.25">
      <c r="D8" s="55" t="s">
        <v>5</v>
      </c>
      <c r="E8" s="56">
        <f t="shared" si="0"/>
        <v>22.339004000000003</v>
      </c>
      <c r="F8" s="57">
        <f>VLOOKUP(D8,Data!$A$22:$AW$31,MATCH('Using Conditional Formatting'!$J$3,Data!$A$1:$AW$1,0),0)</f>
        <v>22.339004000000003</v>
      </c>
      <c r="G8" s="58">
        <f>VLOOKUP(D8,Data!$A$12:$AW25,MATCH('Using Conditional Formatting'!$J$3,Data!$A$1:$AW$1,0),0)</f>
        <v>21.216904</v>
      </c>
      <c r="H8" s="59">
        <f t="shared" si="1"/>
        <v>21.216904</v>
      </c>
    </row>
    <row r="9" spans="4:14" ht="20.25" customHeight="1" x14ac:dyDescent="0.25">
      <c r="D9" s="55" t="s">
        <v>4</v>
      </c>
      <c r="E9" s="56">
        <f t="shared" si="0"/>
        <v>21.206810999999995</v>
      </c>
      <c r="F9" s="57">
        <f>VLOOKUP(D9,Data!$A$22:$AW$31,MATCH('Using Conditional Formatting'!$J$3,Data!$A$1:$AW$1,0),0)</f>
        <v>21.206810999999995</v>
      </c>
      <c r="G9" s="58">
        <f>VLOOKUP(D9,Data!$A$12:$AW26,MATCH('Using Conditional Formatting'!$J$3,Data!$A$1:$AW$1,0),0)</f>
        <v>20.838602000000002</v>
      </c>
      <c r="H9" s="59">
        <f t="shared" si="1"/>
        <v>20.838602000000002</v>
      </c>
      <c r="N9" s="10"/>
    </row>
    <row r="10" spans="4:14" ht="20.25" customHeight="1" x14ac:dyDescent="0.25">
      <c r="D10" s="55" t="s">
        <v>3</v>
      </c>
      <c r="E10" s="56">
        <f t="shared" si="0"/>
        <v>20.480505999999995</v>
      </c>
      <c r="F10" s="57">
        <f>VLOOKUP(D10,Data!$A$22:$AW$31,MATCH('Using Conditional Formatting'!$J$3,Data!$A$1:$AW$1,0),0)</f>
        <v>20.480505999999995</v>
      </c>
      <c r="G10" s="58">
        <f>VLOOKUP(D10,Data!$A$12:$AW27,MATCH('Using Conditional Formatting'!$J$3,Data!$A$1:$AW$1,0),0)</f>
        <v>20.538098000000002</v>
      </c>
      <c r="H10" s="59">
        <f t="shared" si="1"/>
        <v>20.538098000000002</v>
      </c>
    </row>
    <row r="11" spans="4:14" ht="20.25" customHeight="1" x14ac:dyDescent="0.25">
      <c r="D11" s="55" t="s">
        <v>2</v>
      </c>
      <c r="E11" s="56">
        <f t="shared" si="0"/>
        <v>21.921122</v>
      </c>
      <c r="F11" s="57">
        <f>VLOOKUP(D11,Data!$A$22:$AW$31,MATCH('Using Conditional Formatting'!$J$3,Data!$A$1:$AW$1,0),0)</f>
        <v>21.921122</v>
      </c>
      <c r="G11" s="58">
        <f>VLOOKUP(D11,Data!$A$12:$AW28,MATCH('Using Conditional Formatting'!$J$3,Data!$A$1:$AW$1,0),0)</f>
        <v>22.816351000000001</v>
      </c>
      <c r="H11" s="59">
        <f t="shared" si="1"/>
        <v>22.816351000000001</v>
      </c>
    </row>
    <row r="12" spans="4:14" ht="20.25" customHeight="1" x14ac:dyDescent="0.25">
      <c r="D12" s="55" t="s">
        <v>1</v>
      </c>
      <c r="E12" s="56">
        <f t="shared" si="0"/>
        <v>20.511984999999999</v>
      </c>
      <c r="F12" s="57">
        <f>VLOOKUP(D12,Data!$A$22:$AW$31,MATCH('Using Conditional Formatting'!$J$3,Data!$A$1:$AW$1,0),0)</f>
        <v>20.511984999999999</v>
      </c>
      <c r="G12" s="58">
        <f>VLOOKUP(D12,Data!$A$12:$AW29,MATCH('Using Conditional Formatting'!$J$3,Data!$A$1:$AW$1,0),0)</f>
        <v>21.506364000000001</v>
      </c>
      <c r="H12" s="59">
        <f t="shared" si="1"/>
        <v>21.506364000000001</v>
      </c>
    </row>
    <row r="13" spans="4:14" ht="20.25" customHeight="1" thickBot="1" x14ac:dyDescent="0.3">
      <c r="D13" s="60" t="s">
        <v>0</v>
      </c>
      <c r="E13" s="61">
        <f t="shared" si="0"/>
        <v>21.779051000000003</v>
      </c>
      <c r="F13" s="62">
        <f>VLOOKUP(D13,Data!$A$22:$AW$31,MATCH('Using Conditional Formatting'!$J$3,Data!$A$1:$AW$1,0),0)</f>
        <v>21.779051000000003</v>
      </c>
      <c r="G13" s="58">
        <f>VLOOKUP(D13,Data!$A$12:$AW30,MATCH('Using Conditional Formatting'!$J$3,Data!$A$1:$AW$1,0),0)</f>
        <v>22.754255000000001</v>
      </c>
      <c r="H13" s="63">
        <f t="shared" si="1"/>
        <v>22.754255000000001</v>
      </c>
    </row>
    <row r="14" spans="4:14" ht="16.5" thickTop="1" x14ac:dyDescent="0.25"/>
  </sheetData>
  <phoneticPr fontId="19" type="noConversion"/>
  <conditionalFormatting sqref="F4:F13">
    <cfRule type="dataBar" priority="2">
      <dataBar showValue="0">
        <cfvo type="min"/>
        <cfvo type="max"/>
        <color theme="9" tint="-0.249977111117893"/>
      </dataBar>
      <extLst>
        <ext xmlns:x14="http://schemas.microsoft.com/office/spreadsheetml/2009/9/main" uri="{B025F937-C7B1-47D3-B67F-A62EFF666E3E}">
          <x14:id>{12FDB4ED-B692-4C7A-9B0A-4B39DBDE07A7}</x14:id>
        </ext>
      </extLst>
    </cfRule>
  </conditionalFormatting>
  <conditionalFormatting sqref="G4:G13">
    <cfRule type="dataBar" priority="1">
      <dataBar showValue="0">
        <cfvo type="min"/>
        <cfvo type="max"/>
        <color theme="5" tint="-0.249977111117893"/>
      </dataBar>
      <extLst>
        <ext xmlns:x14="http://schemas.microsoft.com/office/spreadsheetml/2009/9/main" uri="{B025F937-C7B1-47D3-B67F-A62EFF666E3E}">
          <x14:id>{1003BEBE-79FA-47D5-9BE7-29FECDFD9309}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Check Box 1">
              <controlPr defaultSize="0" autoFill="0" autoLine="0" autoPict="0" macro="[0]!Sheet4.StartCF">
                <anchor moveWithCells="1">
                  <from>
                    <xdr:col>3</xdr:col>
                    <xdr:colOff>57150</xdr:colOff>
                    <xdr:row>0</xdr:row>
                    <xdr:rowOff>57150</xdr:rowOff>
                  </from>
                  <to>
                    <xdr:col>5</xdr:col>
                    <xdr:colOff>152400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2FDB4ED-B692-4C7A-9B0A-4B39DBDE07A7}">
            <x14:dataBar minLength="0" maxLength="100" border="1" gradient="0" direction="rightToLeft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F4:F13</xm:sqref>
        </x14:conditionalFormatting>
        <x14:conditionalFormatting xmlns:xm="http://schemas.microsoft.com/office/excel/2006/main">
          <x14:cfRule type="dataBar" id="{1003BEBE-79FA-47D5-9BE7-29FECDFD9309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G4:G13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xr:uid="{00000000-0002-0000-0100-000000000000}">
          <x14:formula1>
            <xm:f>Data!$C$1:$AW$1</xm:f>
          </x14:formula1>
          <xm:sqref>J3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F2:O15"/>
  <sheetViews>
    <sheetView showGridLines="0" workbookViewId="0">
      <selection activeCell="J16" sqref="J16"/>
    </sheetView>
  </sheetViews>
  <sheetFormatPr defaultRowHeight="15.75" x14ac:dyDescent="0.25"/>
  <cols>
    <col min="4" max="4" width="9.5703125" bestFit="1" customWidth="1"/>
    <col min="5" max="5" width="8.85546875" customWidth="1"/>
    <col min="6" max="7" width="8.85546875" style="7" customWidth="1"/>
    <col min="10" max="10" width="18.140625" customWidth="1"/>
    <col min="12" max="15" width="13.42578125" customWidth="1"/>
  </cols>
  <sheetData>
    <row r="2" spans="10:15" x14ac:dyDescent="0.25">
      <c r="J2" s="48" t="b">
        <v>0</v>
      </c>
      <c r="K2" s="48" t="str">
        <f>"US Population In Year "&amp;J3</f>
        <v>US Population In Year 2015</v>
      </c>
    </row>
    <row r="3" spans="10:15" ht="21" x14ac:dyDescent="0.3">
      <c r="J3" s="47">
        <v>2015</v>
      </c>
    </row>
    <row r="4" spans="10:15" ht="16.5" thickBot="1" x14ac:dyDescent="0.3">
      <c r="L4" s="42" t="s">
        <v>10</v>
      </c>
      <c r="M4" s="43" t="s">
        <v>12</v>
      </c>
      <c r="N4" s="43" t="s">
        <v>14</v>
      </c>
      <c r="O4" s="44" t="s">
        <v>13</v>
      </c>
    </row>
    <row r="5" spans="10:15" x14ac:dyDescent="0.25">
      <c r="L5" s="45" t="s">
        <v>9</v>
      </c>
      <c r="M5" s="31">
        <f>IFERROR(VLOOKUP(L5,Data!$A$2:$AW$11,MATCH($J$3,Data!$A$1:$AW$1,0),0),"")+IFERROR(VLOOKUP(L5,Data!$A$12:$AW$21,MATCH($J$3,Data!$A$1:$AW$1,0),0),"")</f>
        <v>2.4613510000000001</v>
      </c>
      <c r="N5" s="31">
        <f>O5-IFERROR(VLOOKUP(L5,Data!$A$2:$AW$11,MATCH($J$3,Data!$A$1:$AW$1,0),0),"")</f>
        <v>-1.3478829999999999</v>
      </c>
      <c r="O5" s="32">
        <f>IFERROR(VLOOKUP(L5,Data!$A$12:$AW$21,MATCH($J$3,Data!$A$1:$AW$1,0),0),"")</f>
        <v>0.55673399999999995</v>
      </c>
    </row>
    <row r="6" spans="10:15" x14ac:dyDescent="0.25">
      <c r="L6" s="45" t="s">
        <v>8</v>
      </c>
      <c r="M6" s="31">
        <f>IFERROR(VLOOKUP(L6,Data!$A$2:$AW$11,MATCH($J$3,Data!$A$1:$AW$1,0),0),"")+IFERROR(VLOOKUP(L6,Data!$A$12:$AW$21,MATCH($J$3,Data!$A$1:$AW$1,0),0),"")</f>
        <v>12.315455999999999</v>
      </c>
      <c r="N6" s="31">
        <f>O6-IFERROR(VLOOKUP(L6,Data!$A$2:$AW$11,MATCH($J$3,Data!$A$1:$AW$1,0),0),"")</f>
        <v>-5.3918160000000004</v>
      </c>
      <c r="O6" s="32">
        <f>IFERROR(VLOOKUP(L6,Data!$A$12:$AW$21,MATCH($J$3,Data!$A$1:$AW$1,0),0),"")</f>
        <v>3.4618199999999999</v>
      </c>
    </row>
    <row r="7" spans="10:15" x14ac:dyDescent="0.25">
      <c r="L7" s="45" t="s">
        <v>7</v>
      </c>
      <c r="M7" s="31">
        <f>IFERROR(VLOOKUP(L7,Data!$A$2:$AW$11,MATCH($J$3,Data!$A$1:$AW$1,0),0),"")+IFERROR(VLOOKUP(L7,Data!$A$12:$AW$21,MATCH($J$3,Data!$A$1:$AW$1,0),0),"")</f>
        <v>26.820701</v>
      </c>
      <c r="N7" s="31">
        <f>O7-IFERROR(VLOOKUP(L7,Data!$A$2:$AW$11,MATCH($J$3,Data!$A$1:$AW$1,0),0),"")</f>
        <v>-10.148205000000003</v>
      </c>
      <c r="O7" s="32">
        <f>IFERROR(VLOOKUP(L7,Data!$A$12:$AW$21,MATCH($J$3,Data!$A$1:$AW$1,0),0),"")</f>
        <v>8.3362479999999994</v>
      </c>
    </row>
    <row r="8" spans="10:15" x14ac:dyDescent="0.25">
      <c r="L8" s="45" t="s">
        <v>6</v>
      </c>
      <c r="M8" s="31">
        <f>IFERROR(VLOOKUP(L8,Data!$A$2:$AW$11,MATCH($J$3,Data!$A$1:$AW$1,0),0),"")+IFERROR(VLOOKUP(L8,Data!$A$12:$AW$21,MATCH($J$3,Data!$A$1:$AW$1,0),0),"")</f>
        <v>49.468879000000001</v>
      </c>
      <c r="N8" s="31">
        <f>O8-IFERROR(VLOOKUP(L8,Data!$A$2:$AW$11,MATCH($J$3,Data!$A$1:$AW$1,0),0),"")</f>
        <v>-17.634257000000005</v>
      </c>
      <c r="O8" s="32">
        <f>IFERROR(VLOOKUP(L8,Data!$A$12:$AW$21,MATCH($J$3,Data!$A$1:$AW$1,0),0),"")</f>
        <v>15.917311</v>
      </c>
    </row>
    <row r="9" spans="10:15" x14ac:dyDescent="0.25">
      <c r="L9" s="45" t="s">
        <v>5</v>
      </c>
      <c r="M9" s="31">
        <f>IFERROR(VLOOKUP(L9,Data!$A$2:$AW$11,MATCH($J$3,Data!$A$1:$AW$1,0),0),"")+IFERROR(VLOOKUP(L9,Data!$A$12:$AW$21,MATCH($J$3,Data!$A$1:$AW$1,0),0),"")</f>
        <v>65.233672999999996</v>
      </c>
      <c r="N9" s="31">
        <f>O9-IFERROR(VLOOKUP(L9,Data!$A$2:$AW$11,MATCH($J$3,Data!$A$1:$AW$1,0),0),"")</f>
        <v>-22.483276999999998</v>
      </c>
      <c r="O9" s="32">
        <f>IFERROR(VLOOKUP(L9,Data!$A$12:$AW$21,MATCH($J$3,Data!$A$1:$AW$1,0),0),"")</f>
        <v>21.375198000000001</v>
      </c>
    </row>
    <row r="10" spans="10:15" x14ac:dyDescent="0.25">
      <c r="L10" s="45" t="s">
        <v>4</v>
      </c>
      <c r="M10" s="31">
        <f>IFERROR(VLOOKUP(L10,Data!$A$2:$AW$11,MATCH($J$3,Data!$A$1:$AW$1,0),0),"")+IFERROR(VLOOKUP(L10,Data!$A$12:$AW$21,MATCH($J$3,Data!$A$1:$AW$1,0),0),"")</f>
        <v>61.933064000000002</v>
      </c>
      <c r="N10" s="31">
        <f>O10-IFERROR(VLOOKUP(L10,Data!$A$2:$AW$11,MATCH($J$3,Data!$A$1:$AW$1,0),0),"")</f>
        <v>-20.875575999999999</v>
      </c>
      <c r="O10" s="32">
        <f>IFERROR(VLOOKUP(L10,Data!$A$12:$AW$21,MATCH($J$3,Data!$A$1:$AW$1,0),0),"")</f>
        <v>20.528744</v>
      </c>
    </row>
    <row r="11" spans="10:15" x14ac:dyDescent="0.25">
      <c r="L11" s="45" t="s">
        <v>3</v>
      </c>
      <c r="M11" s="31">
        <f>IFERROR(VLOOKUP(L11,Data!$A$2:$AW$11,MATCH($J$3,Data!$A$1:$AW$1,0),0),"")+IFERROR(VLOOKUP(L11,Data!$A$12:$AW$21,MATCH($J$3,Data!$A$1:$AW$1,0),0),"")</f>
        <v>62.411619999999999</v>
      </c>
      <c r="N11" s="31">
        <f>O11-IFERROR(VLOOKUP(L11,Data!$A$2:$AW$11,MATCH($J$3,Data!$A$1:$AW$1,0),0),"")</f>
        <v>-20.732206000000001</v>
      </c>
      <c r="O11" s="32">
        <f>IFERROR(VLOOKUP(L11,Data!$A$12:$AW$21,MATCH($J$3,Data!$A$1:$AW$1,0),0),"")</f>
        <v>20.839707000000001</v>
      </c>
    </row>
    <row r="12" spans="10:15" x14ac:dyDescent="0.25">
      <c r="L12" s="45" t="s">
        <v>2</v>
      </c>
      <c r="M12" s="31">
        <f>IFERROR(VLOOKUP(L12,Data!$A$2:$AW$11,MATCH($J$3,Data!$A$1:$AW$1,0),0),"")+IFERROR(VLOOKUP(L12,Data!$A$12:$AW$21,MATCH($J$3,Data!$A$1:$AW$1,0),0),"")</f>
        <v>68.389285999999998</v>
      </c>
      <c r="N12" s="31">
        <f>O12-IFERROR(VLOOKUP(L12,Data!$A$2:$AW$11,MATCH($J$3,Data!$A$1:$AW$1,0),0),"")</f>
        <v>-22.146789999999996</v>
      </c>
      <c r="O12" s="32">
        <f>IFERROR(VLOOKUP(L12,Data!$A$12:$AW$21,MATCH($J$3,Data!$A$1:$AW$1,0),0),"")</f>
        <v>23.121248000000001</v>
      </c>
    </row>
    <row r="13" spans="10:15" x14ac:dyDescent="0.25">
      <c r="L13" s="45" t="s">
        <v>1</v>
      </c>
      <c r="M13" s="31">
        <f>IFERROR(VLOOKUP(L13,Data!$A$2:$AW$11,MATCH($J$3,Data!$A$1:$AW$1,0),0),"")+IFERROR(VLOOKUP(L13,Data!$A$12:$AW$21,MATCH($J$3,Data!$A$1:$AW$1,0),0),"")</f>
        <v>63.373987</v>
      </c>
      <c r="N13" s="31">
        <f>O13-IFERROR(VLOOKUP(L13,Data!$A$2:$AW$11,MATCH($J$3,Data!$A$1:$AW$1,0),0),"")</f>
        <v>-20.481379</v>
      </c>
      <c r="O13" s="32">
        <f>IFERROR(VLOOKUP(L13,Data!$A$12:$AW$21,MATCH($J$3,Data!$A$1:$AW$1,0),0),"")</f>
        <v>21.446304000000001</v>
      </c>
    </row>
    <row r="14" spans="10:15" ht="16.5" thickBot="1" x14ac:dyDescent="0.3">
      <c r="L14" s="46" t="s">
        <v>0</v>
      </c>
      <c r="M14" s="33">
        <f>IFERROR(VLOOKUP(L14,Data!$A$2:$AW$11,MATCH($J$3,Data!$A$1:$AW$1,0),0),"")+IFERROR(VLOOKUP(L14,Data!$A$12:$AW$21,MATCH($J$3,Data!$A$1:$AW$1,0),0),"")</f>
        <v>67.305884999999989</v>
      </c>
      <c r="N14" s="33">
        <f>O14-IFERROR(VLOOKUP(L14,Data!$A$2:$AW$11,MATCH($J$3,Data!$A$1:$AW$1,0),0),"")</f>
        <v>-21.782436999999994</v>
      </c>
      <c r="O14" s="34">
        <f>IFERROR(VLOOKUP(L14,Data!$A$12:$AW$21,MATCH($J$3,Data!$A$1:$AW$1,0),0),"")</f>
        <v>22.761724000000001</v>
      </c>
    </row>
    <row r="15" spans="10:15" ht="16.5" thickTop="1" x14ac:dyDescent="0.25"/>
  </sheetData>
  <phoneticPr fontId="19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Check Box 1">
              <controlPr defaultSize="0" autoFill="0" autoLine="0" autoPict="0" macro="[0]!Sheet3.WithBarChart">
                <anchor moveWithCells="1">
                  <from>
                    <xdr:col>0</xdr:col>
                    <xdr:colOff>190500</xdr:colOff>
                    <xdr:row>14</xdr:row>
                    <xdr:rowOff>190500</xdr:rowOff>
                  </from>
                  <to>
                    <xdr:col>2</xdr:col>
                    <xdr:colOff>361950</xdr:colOff>
                    <xdr:row>16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xr:uid="{00000000-0002-0000-0200-000000000000}">
          <x14:formula1>
            <xm:f>Data!$C$1:$AW$1</xm:f>
          </x14:formula1>
          <xm:sqref>J3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W31"/>
  <sheetViews>
    <sheetView showGridLines="0" tabSelected="1" topLeftCell="A10" zoomScale="80" zoomScaleNormal="80" workbookViewId="0">
      <selection activeCell="I28" sqref="I28"/>
    </sheetView>
  </sheetViews>
  <sheetFormatPr defaultRowHeight="15.75" x14ac:dyDescent="0.25"/>
  <cols>
    <col min="1" max="1" width="10.5703125" bestFit="1" customWidth="1"/>
    <col min="2" max="2" width="7.85546875" bestFit="1" customWidth="1"/>
    <col min="3" max="49" width="7.140625" bestFit="1" customWidth="1"/>
  </cols>
  <sheetData>
    <row r="1" spans="1:49" x14ac:dyDescent="0.25">
      <c r="A1" s="11" t="s">
        <v>10</v>
      </c>
      <c r="B1" s="12" t="s">
        <v>11</v>
      </c>
      <c r="C1" s="12">
        <v>2014</v>
      </c>
      <c r="D1" s="12">
        <v>2015</v>
      </c>
      <c r="E1" s="12">
        <v>2016</v>
      </c>
      <c r="F1" s="12">
        <v>2017</v>
      </c>
      <c r="G1" s="12">
        <v>2018</v>
      </c>
      <c r="H1" s="12">
        <v>2019</v>
      </c>
      <c r="I1" s="12">
        <v>2020</v>
      </c>
      <c r="J1" s="12">
        <v>2021</v>
      </c>
      <c r="K1" s="12">
        <v>2022</v>
      </c>
      <c r="L1" s="12">
        <v>2023</v>
      </c>
      <c r="M1" s="12">
        <v>2024</v>
      </c>
      <c r="N1" s="12">
        <v>2025</v>
      </c>
      <c r="O1" s="12">
        <v>2026</v>
      </c>
      <c r="P1" s="12">
        <v>2027</v>
      </c>
      <c r="Q1" s="12">
        <v>2028</v>
      </c>
      <c r="R1" s="12">
        <v>2029</v>
      </c>
      <c r="S1" s="12">
        <v>2030</v>
      </c>
      <c r="T1" s="12">
        <v>2031</v>
      </c>
      <c r="U1" s="12">
        <v>2032</v>
      </c>
      <c r="V1" s="12">
        <v>2033</v>
      </c>
      <c r="W1" s="12">
        <v>2034</v>
      </c>
      <c r="X1" s="12">
        <v>2035</v>
      </c>
      <c r="Y1" s="12">
        <v>2036</v>
      </c>
      <c r="Z1" s="12">
        <v>2037</v>
      </c>
      <c r="AA1" s="12">
        <v>2038</v>
      </c>
      <c r="AB1" s="12">
        <v>2039</v>
      </c>
      <c r="AC1" s="12">
        <v>2040</v>
      </c>
      <c r="AD1" s="12">
        <v>2041</v>
      </c>
      <c r="AE1" s="12">
        <v>2042</v>
      </c>
      <c r="AF1" s="12">
        <v>2043</v>
      </c>
      <c r="AG1" s="12">
        <v>2044</v>
      </c>
      <c r="AH1" s="12">
        <v>2045</v>
      </c>
      <c r="AI1" s="12">
        <v>2046</v>
      </c>
      <c r="AJ1" s="12">
        <v>2047</v>
      </c>
      <c r="AK1" s="12">
        <v>2048</v>
      </c>
      <c r="AL1" s="12">
        <v>2049</v>
      </c>
      <c r="AM1" s="12">
        <v>2050</v>
      </c>
      <c r="AN1" s="12">
        <v>2051</v>
      </c>
      <c r="AO1" s="12">
        <v>2052</v>
      </c>
      <c r="AP1" s="12">
        <v>2053</v>
      </c>
      <c r="AQ1" s="12">
        <v>2054</v>
      </c>
      <c r="AR1" s="12">
        <v>2055</v>
      </c>
      <c r="AS1" s="12">
        <v>2056</v>
      </c>
      <c r="AT1" s="12">
        <v>2057</v>
      </c>
      <c r="AU1" s="12">
        <v>2058</v>
      </c>
      <c r="AV1" s="12">
        <v>2059</v>
      </c>
      <c r="AW1" s="12">
        <v>2060</v>
      </c>
    </row>
    <row r="2" spans="1:49" x14ac:dyDescent="0.25">
      <c r="A2" s="13" t="s">
        <v>0</v>
      </c>
      <c r="B2" s="14" t="s">
        <v>12</v>
      </c>
      <c r="C2" s="3">
        <v>44.533306000000003</v>
      </c>
      <c r="D2" s="3">
        <v>44.544160999999995</v>
      </c>
      <c r="E2" s="3">
        <v>44.581873999999999</v>
      </c>
      <c r="F2" s="3">
        <v>44.624658999999994</v>
      </c>
      <c r="G2" s="3">
        <v>44.649763000000007</v>
      </c>
      <c r="H2" s="3">
        <v>44.709475999999995</v>
      </c>
      <c r="I2" s="3">
        <v>44.909341999999995</v>
      </c>
      <c r="J2" s="3">
        <v>45.116416000000008</v>
      </c>
      <c r="K2" s="3">
        <v>45.324508000000009</v>
      </c>
      <c r="L2" s="3">
        <v>45.561039000000008</v>
      </c>
      <c r="M2" s="3">
        <v>45.805625999999997</v>
      </c>
      <c r="N2" s="3">
        <v>46.027884</v>
      </c>
      <c r="O2" s="3">
        <v>46.227646</v>
      </c>
      <c r="P2" s="3">
        <v>46.403558000000004</v>
      </c>
      <c r="Q2" s="3">
        <v>46.554747000000006</v>
      </c>
      <c r="R2" s="3">
        <v>46.682214999999999</v>
      </c>
      <c r="S2" s="3">
        <v>46.787675999999998</v>
      </c>
      <c r="T2" s="3">
        <v>46.874173999999996</v>
      </c>
      <c r="U2" s="3">
        <v>46.946574999999996</v>
      </c>
      <c r="V2" s="3">
        <v>47.009746</v>
      </c>
      <c r="W2" s="3">
        <v>47.067760000000007</v>
      </c>
      <c r="X2" s="3">
        <v>47.123688999999999</v>
      </c>
      <c r="Y2" s="3">
        <v>47.179942999999994</v>
      </c>
      <c r="Z2" s="3">
        <v>47.238684999999997</v>
      </c>
      <c r="AA2" s="3">
        <v>47.302324999999996</v>
      </c>
      <c r="AB2" s="3">
        <v>47.373221000000001</v>
      </c>
      <c r="AC2" s="3">
        <v>47.452703</v>
      </c>
      <c r="AD2" s="3">
        <v>47.541680999999997</v>
      </c>
      <c r="AE2" s="3">
        <v>47.640907999999996</v>
      </c>
      <c r="AF2" s="3">
        <v>47.750267999999998</v>
      </c>
      <c r="AG2" s="3">
        <v>47.869312999999998</v>
      </c>
      <c r="AH2" s="3">
        <v>47.997140999999999</v>
      </c>
      <c r="AI2" s="3">
        <v>48.132743999999995</v>
      </c>
      <c r="AJ2" s="3">
        <v>48.275209000000004</v>
      </c>
      <c r="AK2" s="3">
        <v>48.423705000000005</v>
      </c>
      <c r="AL2" s="3">
        <v>48.577206999999994</v>
      </c>
      <c r="AM2" s="3">
        <v>48.734583999999998</v>
      </c>
      <c r="AN2" s="3">
        <v>48.894715000000005</v>
      </c>
      <c r="AO2" s="3">
        <v>49.056336999999999</v>
      </c>
      <c r="AP2" s="3">
        <v>49.217956000000008</v>
      </c>
      <c r="AQ2" s="3">
        <v>49.37816500000001</v>
      </c>
      <c r="AR2" s="3">
        <v>49.535627999999996</v>
      </c>
      <c r="AS2" s="3">
        <v>49.689112999999999</v>
      </c>
      <c r="AT2" s="3">
        <v>49.837731999999995</v>
      </c>
      <c r="AU2" s="3">
        <v>49.980858999999995</v>
      </c>
      <c r="AV2" s="3">
        <v>50.118194000000003</v>
      </c>
      <c r="AW2" s="4">
        <v>50.249754000000003</v>
      </c>
    </row>
    <row r="3" spans="1:49" x14ac:dyDescent="0.25">
      <c r="A3" s="15" t="s">
        <v>1</v>
      </c>
      <c r="B3" s="16" t="s">
        <v>12</v>
      </c>
      <c r="C3" s="5">
        <v>42.018349000000001</v>
      </c>
      <c r="D3" s="5">
        <v>41.927683000000002</v>
      </c>
      <c r="E3" s="5">
        <v>41.896566000000007</v>
      </c>
      <c r="F3" s="5">
        <v>41.953631000000001</v>
      </c>
      <c r="G3" s="5">
        <v>42.064476999999997</v>
      </c>
      <c r="H3" s="5">
        <v>42.157719999999998</v>
      </c>
      <c r="I3" s="5">
        <v>42.118533999999997</v>
      </c>
      <c r="J3" s="5">
        <v>42.010708999999999</v>
      </c>
      <c r="K3" s="5">
        <v>41.967171999999998</v>
      </c>
      <c r="L3" s="5">
        <v>41.996307000000002</v>
      </c>
      <c r="M3" s="5">
        <v>41.999802000000003</v>
      </c>
      <c r="N3" s="5">
        <v>41.992896999999999</v>
      </c>
      <c r="O3" s="5">
        <v>42.013399</v>
      </c>
      <c r="P3" s="5">
        <v>42.039929000000001</v>
      </c>
      <c r="Q3" s="5">
        <v>42.050869999999996</v>
      </c>
      <c r="R3" s="5">
        <v>42.098471000000004</v>
      </c>
      <c r="S3" s="5">
        <v>42.288667999999994</v>
      </c>
      <c r="T3" s="5">
        <v>42.490713999999997</v>
      </c>
      <c r="U3" s="5">
        <v>42.697726000000003</v>
      </c>
      <c r="V3" s="5">
        <v>42.935451000000008</v>
      </c>
      <c r="W3" s="5">
        <v>43.182707999999998</v>
      </c>
      <c r="X3" s="5">
        <v>43.408639000000001</v>
      </c>
      <c r="Y3" s="5">
        <v>43.613053000000001</v>
      </c>
      <c r="Z3" s="5">
        <v>43.795129000000003</v>
      </c>
      <c r="AA3" s="5">
        <v>43.953760000000003</v>
      </c>
      <c r="AB3" s="5">
        <v>44.089109000000001</v>
      </c>
      <c r="AC3" s="5">
        <v>44.202340999999997</v>
      </c>
      <c r="AD3" s="5">
        <v>44.296190000000003</v>
      </c>
      <c r="AE3" s="5">
        <v>44.374810999999994</v>
      </c>
      <c r="AF3" s="5">
        <v>44.442770999999993</v>
      </c>
      <c r="AG3" s="5">
        <v>44.503814999999996</v>
      </c>
      <c r="AH3" s="5">
        <v>44.561083000000004</v>
      </c>
      <c r="AI3" s="5">
        <v>44.61728200000001</v>
      </c>
      <c r="AJ3" s="5">
        <v>44.674748000000001</v>
      </c>
      <c r="AK3" s="5">
        <v>44.736062000000004</v>
      </c>
      <c r="AL3" s="5">
        <v>44.803459000000004</v>
      </c>
      <c r="AM3" s="5">
        <v>44.878441000000002</v>
      </c>
      <c r="AN3" s="5">
        <v>44.961949000000004</v>
      </c>
      <c r="AO3" s="5">
        <v>45.05462</v>
      </c>
      <c r="AP3" s="5">
        <v>45.156443999999993</v>
      </c>
      <c r="AQ3" s="5">
        <v>45.266924000000003</v>
      </c>
      <c r="AR3" s="5">
        <v>45.385274000000003</v>
      </c>
      <c r="AS3" s="5">
        <v>45.510739000000001</v>
      </c>
      <c r="AT3" s="5">
        <v>45.642578999999998</v>
      </c>
      <c r="AU3" s="5">
        <v>45.780133000000006</v>
      </c>
      <c r="AV3" s="5">
        <v>45.922581999999998</v>
      </c>
      <c r="AW3" s="6">
        <v>46.068913000000002</v>
      </c>
    </row>
    <row r="4" spans="1:49" x14ac:dyDescent="0.25">
      <c r="A4" s="13" t="s">
        <v>2</v>
      </c>
      <c r="B4" s="14" t="s">
        <v>12</v>
      </c>
      <c r="C4" s="3">
        <v>44.737473000000001</v>
      </c>
      <c r="D4" s="3">
        <v>45.268037999999997</v>
      </c>
      <c r="E4" s="3">
        <v>45.584520999999995</v>
      </c>
      <c r="F4" s="3">
        <v>45.847658000000003</v>
      </c>
      <c r="G4" s="3">
        <v>46.093181000000001</v>
      </c>
      <c r="H4" s="3">
        <v>46.243863000000005</v>
      </c>
      <c r="I4" s="3">
        <v>46.243863000000005</v>
      </c>
      <c r="J4" s="3">
        <v>46.173402999999993</v>
      </c>
      <c r="K4" s="3">
        <v>45.981511999999995</v>
      </c>
      <c r="L4" s="3">
        <v>45.749857999999989</v>
      </c>
      <c r="M4" s="3">
        <v>45.629078</v>
      </c>
      <c r="N4" s="3">
        <v>45.582517000000003</v>
      </c>
      <c r="O4" s="3">
        <v>45.594873</v>
      </c>
      <c r="P4" s="3">
        <v>45.694094999999997</v>
      </c>
      <c r="Q4" s="3">
        <v>45.846651999999999</v>
      </c>
      <c r="R4" s="3">
        <v>45.981006000000001</v>
      </c>
      <c r="S4" s="3">
        <v>45.983007999999991</v>
      </c>
      <c r="T4" s="3">
        <v>45.913166999999994</v>
      </c>
      <c r="U4" s="3">
        <v>45.905878000000001</v>
      </c>
      <c r="V4" s="3">
        <v>45.969899999999996</v>
      </c>
      <c r="W4" s="3">
        <v>46.007394000000005</v>
      </c>
      <c r="X4" s="3">
        <v>46.033447000000002</v>
      </c>
      <c r="Y4" s="3">
        <v>46.086024999999999</v>
      </c>
      <c r="Z4" s="3">
        <v>46.143791000000007</v>
      </c>
      <c r="AA4" s="3">
        <v>46.185521999999999</v>
      </c>
      <c r="AB4" s="3">
        <v>46.263105000000003</v>
      </c>
      <c r="AC4" s="3">
        <v>46.481757000000002</v>
      </c>
      <c r="AD4" s="3">
        <v>46.711609000000003</v>
      </c>
      <c r="AE4" s="3">
        <v>46.945893999999996</v>
      </c>
      <c r="AF4" s="3">
        <v>47.210064000000003</v>
      </c>
      <c r="AG4" s="3">
        <v>47.483076000000004</v>
      </c>
      <c r="AH4" s="3">
        <v>47.733801</v>
      </c>
      <c r="AI4" s="3">
        <v>47.962310000000002</v>
      </c>
      <c r="AJ4" s="3">
        <v>48.167662999999997</v>
      </c>
      <c r="AK4" s="3">
        <v>48.348647999999997</v>
      </c>
      <c r="AL4" s="3">
        <v>48.505535999999999</v>
      </c>
      <c r="AM4" s="3">
        <v>48.639396000000005</v>
      </c>
      <c r="AN4" s="3">
        <v>48.753062</v>
      </c>
      <c r="AO4" s="3">
        <v>48.850710999999997</v>
      </c>
      <c r="AP4" s="3">
        <v>48.936878000000007</v>
      </c>
      <c r="AQ4" s="3">
        <v>49.015236999999999</v>
      </c>
      <c r="AR4" s="3">
        <v>49.088975000000005</v>
      </c>
      <c r="AS4" s="3">
        <v>49.160752000000009</v>
      </c>
      <c r="AT4" s="3">
        <v>49.232969999999995</v>
      </c>
      <c r="AU4" s="3">
        <v>49.308123999999999</v>
      </c>
      <c r="AV4" s="3">
        <v>49.388629999999999</v>
      </c>
      <c r="AW4" s="4">
        <v>49.475829999999995</v>
      </c>
    </row>
    <row r="5" spans="1:49" x14ac:dyDescent="0.25">
      <c r="A5" s="15" t="s">
        <v>3</v>
      </c>
      <c r="B5" s="16" t="s">
        <v>12</v>
      </c>
      <c r="C5" s="5">
        <v>41.018603999999996</v>
      </c>
      <c r="D5" s="5">
        <v>41.571913000000002</v>
      </c>
      <c r="E5" s="5">
        <v>42.160204999999998</v>
      </c>
      <c r="F5" s="5">
        <v>42.853932</v>
      </c>
      <c r="G5" s="5">
        <v>43.436100000000003</v>
      </c>
      <c r="H5" s="5">
        <v>44.075241000000005</v>
      </c>
      <c r="I5" s="5">
        <v>44.761321999999993</v>
      </c>
      <c r="J5" s="5">
        <v>45.387879999999996</v>
      </c>
      <c r="K5" s="5">
        <v>46.129397000000012</v>
      </c>
      <c r="L5" s="5">
        <v>46.764616999999994</v>
      </c>
      <c r="M5" s="5">
        <v>47.305917000000001</v>
      </c>
      <c r="N5" s="5">
        <v>47.861908000000007</v>
      </c>
      <c r="O5" s="5">
        <v>48.207100000000011</v>
      </c>
      <c r="P5" s="5">
        <v>48.49962</v>
      </c>
      <c r="Q5" s="5">
        <v>48.775559000000001</v>
      </c>
      <c r="R5" s="5">
        <v>48.959731000000005</v>
      </c>
      <c r="S5" s="5">
        <v>49.024871999999995</v>
      </c>
      <c r="T5" s="5">
        <v>48.959846999999996</v>
      </c>
      <c r="U5" s="5">
        <v>48.80392599999999</v>
      </c>
      <c r="V5" s="5">
        <v>48.608222999999995</v>
      </c>
      <c r="W5" s="5">
        <v>48.521060000000006</v>
      </c>
      <c r="X5" s="5">
        <v>48.507550000000002</v>
      </c>
      <c r="Y5" s="5">
        <v>48.552023999999996</v>
      </c>
      <c r="Z5" s="5">
        <v>48.681975999999999</v>
      </c>
      <c r="AA5" s="5">
        <v>48.863968000000007</v>
      </c>
      <c r="AB5" s="5">
        <v>49.027184999999989</v>
      </c>
      <c r="AC5" s="5">
        <v>49.058206999999996</v>
      </c>
      <c r="AD5" s="5">
        <v>49.016870999999995</v>
      </c>
      <c r="AE5" s="5">
        <v>49.036398000000005</v>
      </c>
      <c r="AF5" s="5">
        <v>49.125622</v>
      </c>
      <c r="AG5" s="5">
        <v>49.187674999999999</v>
      </c>
      <c r="AH5" s="5">
        <v>49.237496</v>
      </c>
      <c r="AI5" s="5">
        <v>49.312901000000004</v>
      </c>
      <c r="AJ5" s="5">
        <v>49.392527999999999</v>
      </c>
      <c r="AK5" s="5">
        <v>49.455638</v>
      </c>
      <c r="AL5" s="5">
        <v>49.553781999999998</v>
      </c>
      <c r="AM5" s="5">
        <v>49.791360999999995</v>
      </c>
      <c r="AN5" s="5">
        <v>50.039556000000005</v>
      </c>
      <c r="AO5" s="5">
        <v>50.291555000000002</v>
      </c>
      <c r="AP5" s="5">
        <v>50.572644999999994</v>
      </c>
      <c r="AQ5" s="5">
        <v>50.861910000000002</v>
      </c>
      <c r="AR5" s="5">
        <v>51.128113999999997</v>
      </c>
      <c r="AS5" s="5">
        <v>51.371557000000003</v>
      </c>
      <c r="AT5" s="5">
        <v>51.591085</v>
      </c>
      <c r="AU5" s="5">
        <v>51.785663</v>
      </c>
      <c r="AV5" s="5">
        <v>51.955519000000002</v>
      </c>
      <c r="AW5" s="6">
        <v>52.101742000000002</v>
      </c>
    </row>
    <row r="6" spans="1:49" x14ac:dyDescent="0.25">
      <c r="A6" s="13" t="s">
        <v>4</v>
      </c>
      <c r="B6" s="14" t="s">
        <v>12</v>
      </c>
      <c r="C6" s="3">
        <v>42.045412999999996</v>
      </c>
      <c r="D6" s="3">
        <v>41.404319999999998</v>
      </c>
      <c r="E6" s="3">
        <v>40.991236000000001</v>
      </c>
      <c r="F6" s="3">
        <v>40.72768099999999</v>
      </c>
      <c r="G6" s="3">
        <v>40.673304000000002</v>
      </c>
      <c r="H6" s="3">
        <v>40.681564999999999</v>
      </c>
      <c r="I6" s="3">
        <v>40.701027999999994</v>
      </c>
      <c r="J6" s="3">
        <v>40.778098</v>
      </c>
      <c r="K6" s="3">
        <v>40.843618999999997</v>
      </c>
      <c r="L6" s="3">
        <v>41.204168999999993</v>
      </c>
      <c r="M6" s="3">
        <v>41.756083999999994</v>
      </c>
      <c r="N6" s="3">
        <v>42.319746000000009</v>
      </c>
      <c r="O6" s="3">
        <v>42.919353999999998</v>
      </c>
      <c r="P6" s="3">
        <v>43.621990999999994</v>
      </c>
      <c r="Q6" s="3">
        <v>44.216020999999998</v>
      </c>
      <c r="R6" s="3">
        <v>44.867528999999998</v>
      </c>
      <c r="S6" s="3">
        <v>45.567349000000007</v>
      </c>
      <c r="T6" s="3">
        <v>46.213661999999999</v>
      </c>
      <c r="U6" s="3">
        <v>46.972079000000008</v>
      </c>
      <c r="V6" s="3">
        <v>47.625461000000001</v>
      </c>
      <c r="W6" s="3">
        <v>48.186358999999996</v>
      </c>
      <c r="X6" s="3">
        <v>48.759304999999991</v>
      </c>
      <c r="Y6" s="3">
        <v>49.124591000000009</v>
      </c>
      <c r="Z6" s="3">
        <v>49.436630000000001</v>
      </c>
      <c r="AA6" s="3">
        <v>49.731606000000006</v>
      </c>
      <c r="AB6" s="3">
        <v>49.936008999999999</v>
      </c>
      <c r="AC6" s="3">
        <v>50.022428999999995</v>
      </c>
      <c r="AD6" s="3">
        <v>49.981369000000001</v>
      </c>
      <c r="AE6" s="3">
        <v>49.850273000000001</v>
      </c>
      <c r="AF6" s="3">
        <v>49.679511000000005</v>
      </c>
      <c r="AG6" s="3">
        <v>49.615034999999999</v>
      </c>
      <c r="AH6" s="3">
        <v>49.623807999999997</v>
      </c>
      <c r="AI6" s="3">
        <v>49.68923199999999</v>
      </c>
      <c r="AJ6" s="3">
        <v>49.838416999999993</v>
      </c>
      <c r="AK6" s="3">
        <v>50.038457000000001</v>
      </c>
      <c r="AL6" s="3">
        <v>50.219296000000007</v>
      </c>
      <c r="AM6" s="3">
        <v>50.268194999999999</v>
      </c>
      <c r="AN6" s="3">
        <v>50.244909</v>
      </c>
      <c r="AO6" s="3">
        <v>50.280653999999998</v>
      </c>
      <c r="AP6" s="3">
        <v>50.383890000000008</v>
      </c>
      <c r="AQ6" s="3">
        <v>50.459522</v>
      </c>
      <c r="AR6" s="3">
        <v>50.522309000000007</v>
      </c>
      <c r="AS6" s="3">
        <v>50.609976000000003</v>
      </c>
      <c r="AT6" s="3">
        <v>50.701334000000003</v>
      </c>
      <c r="AU6" s="3">
        <v>50.776149999999994</v>
      </c>
      <c r="AV6" s="3">
        <v>50.885350000000003</v>
      </c>
      <c r="AW6" s="4">
        <v>51.131994999999996</v>
      </c>
    </row>
    <row r="7" spans="1:49" x14ac:dyDescent="0.25">
      <c r="A7" s="15" t="s">
        <v>5</v>
      </c>
      <c r="B7" s="16" t="s">
        <v>12</v>
      </c>
      <c r="C7" s="5">
        <v>43.555908000000002</v>
      </c>
      <c r="D7" s="5">
        <v>43.858474999999999</v>
      </c>
      <c r="E7" s="5">
        <v>43.930579999999999</v>
      </c>
      <c r="F7" s="5">
        <v>43.740864999999999</v>
      </c>
      <c r="G7" s="5">
        <v>43.347729000000008</v>
      </c>
      <c r="H7" s="5">
        <v>42.926651</v>
      </c>
      <c r="I7" s="5">
        <v>42.590282000000002</v>
      </c>
      <c r="J7" s="5">
        <v>42.351152000000006</v>
      </c>
      <c r="K7" s="5">
        <v>42.116105000000005</v>
      </c>
      <c r="L7" s="5">
        <v>41.725428999999998</v>
      </c>
      <c r="M7" s="5">
        <v>41.176361</v>
      </c>
      <c r="N7" s="5">
        <v>40.590444000000005</v>
      </c>
      <c r="O7" s="5">
        <v>40.224038</v>
      </c>
      <c r="P7" s="5">
        <v>39.996641000000004</v>
      </c>
      <c r="Q7" s="5">
        <v>39.970920999999997</v>
      </c>
      <c r="R7" s="5">
        <v>40.007392000000003</v>
      </c>
      <c r="S7" s="5">
        <v>40.056959999999997</v>
      </c>
      <c r="T7" s="5">
        <v>40.171481999999997</v>
      </c>
      <c r="U7" s="5">
        <v>40.274089000000004</v>
      </c>
      <c r="V7" s="5">
        <v>40.659463000000002</v>
      </c>
      <c r="W7" s="5">
        <v>41.226425000000006</v>
      </c>
      <c r="X7" s="5">
        <v>41.802374</v>
      </c>
      <c r="Y7" s="5">
        <v>42.416130000000003</v>
      </c>
      <c r="Z7" s="5">
        <v>43.126902000000001</v>
      </c>
      <c r="AA7" s="5">
        <v>43.732928999999992</v>
      </c>
      <c r="AB7" s="5">
        <v>44.395492000000004</v>
      </c>
      <c r="AC7" s="5">
        <v>45.106817999999997</v>
      </c>
      <c r="AD7" s="5">
        <v>45.772014000000006</v>
      </c>
      <c r="AE7" s="5">
        <v>46.543481</v>
      </c>
      <c r="AF7" s="5">
        <v>47.211596999999998</v>
      </c>
      <c r="AG7" s="5">
        <v>47.789221999999995</v>
      </c>
      <c r="AH7" s="5">
        <v>48.375591999999997</v>
      </c>
      <c r="AI7" s="5">
        <v>48.759978999999994</v>
      </c>
      <c r="AJ7" s="5">
        <v>49.090727999999999</v>
      </c>
      <c r="AK7" s="5">
        <v>49.403980000000011</v>
      </c>
      <c r="AL7" s="5">
        <v>49.629554999999996</v>
      </c>
      <c r="AM7" s="5">
        <v>49.74046899999999</v>
      </c>
      <c r="AN7" s="5">
        <v>49.729376000000002</v>
      </c>
      <c r="AO7" s="5">
        <v>49.630248000000002</v>
      </c>
      <c r="AP7" s="5">
        <v>49.491416000000001</v>
      </c>
      <c r="AQ7" s="5">
        <v>49.455367000000003</v>
      </c>
      <c r="AR7" s="5">
        <v>49.491281000000001</v>
      </c>
      <c r="AS7" s="5">
        <v>49.581557000000004</v>
      </c>
      <c r="AT7" s="5">
        <v>49.75267800000001</v>
      </c>
      <c r="AU7" s="5">
        <v>49.972984000000004</v>
      </c>
      <c r="AV7" s="5">
        <v>50.173713999999997</v>
      </c>
      <c r="AW7" s="6">
        <v>50.243469000000005</v>
      </c>
    </row>
    <row r="8" spans="1:49" x14ac:dyDescent="0.25">
      <c r="A8" s="13" t="s">
        <v>6</v>
      </c>
      <c r="B8" s="14" t="s">
        <v>12</v>
      </c>
      <c r="C8" s="3">
        <v>32.387619999999998</v>
      </c>
      <c r="D8" s="3">
        <v>33.551568000000003</v>
      </c>
      <c r="E8" s="3">
        <v>34.822392000000001</v>
      </c>
      <c r="F8" s="3">
        <v>36.090536999999998</v>
      </c>
      <c r="G8" s="3">
        <v>36.643487999999998</v>
      </c>
      <c r="H8" s="3">
        <v>37.388142000000002</v>
      </c>
      <c r="I8" s="3">
        <v>38.138068000000004</v>
      </c>
      <c r="J8" s="3">
        <v>38.948896000000005</v>
      </c>
      <c r="K8" s="3">
        <v>39.653021000000003</v>
      </c>
      <c r="L8" s="3">
        <v>40.209230000000005</v>
      </c>
      <c r="M8" s="3">
        <v>40.650423000000004</v>
      </c>
      <c r="N8" s="3">
        <v>40.973379000000001</v>
      </c>
      <c r="O8" s="3">
        <v>41.085364000000006</v>
      </c>
      <c r="P8" s="3">
        <v>40.949342000000001</v>
      </c>
      <c r="Q8" s="3">
        <v>40.628324000000006</v>
      </c>
      <c r="R8" s="3">
        <v>40.280656000000008</v>
      </c>
      <c r="S8" s="3">
        <v>40.015909000000001</v>
      </c>
      <c r="T8" s="3">
        <v>39.853733999999996</v>
      </c>
      <c r="U8" s="3">
        <v>39.692022999999992</v>
      </c>
      <c r="V8" s="3">
        <v>39.378767000000003</v>
      </c>
      <c r="W8" s="3">
        <v>38.915269000000002</v>
      </c>
      <c r="X8" s="3">
        <v>38.418185999999999</v>
      </c>
      <c r="Y8" s="3">
        <v>38.127630000000003</v>
      </c>
      <c r="Z8" s="3">
        <v>37.958036</v>
      </c>
      <c r="AA8" s="3">
        <v>37.976646000000002</v>
      </c>
      <c r="AB8" s="3">
        <v>38.054769999999998</v>
      </c>
      <c r="AC8" s="3">
        <v>38.148505999999998</v>
      </c>
      <c r="AD8" s="3">
        <v>38.315458</v>
      </c>
      <c r="AE8" s="3">
        <v>38.470056000000007</v>
      </c>
      <c r="AF8" s="3">
        <v>38.885858000000006</v>
      </c>
      <c r="AG8" s="3">
        <v>39.467010000000009</v>
      </c>
      <c r="AH8" s="3">
        <v>40.053021999999999</v>
      </c>
      <c r="AI8" s="3">
        <v>40.679217000000001</v>
      </c>
      <c r="AJ8" s="3">
        <v>41.39134</v>
      </c>
      <c r="AK8" s="3">
        <v>42.005249999999997</v>
      </c>
      <c r="AL8" s="3">
        <v>42.673245999999999</v>
      </c>
      <c r="AM8" s="3">
        <v>43.389963000000002</v>
      </c>
      <c r="AN8" s="3">
        <v>44.072583999999999</v>
      </c>
      <c r="AO8" s="3">
        <v>44.851659000000005</v>
      </c>
      <c r="AP8" s="3">
        <v>45.530744999999989</v>
      </c>
      <c r="AQ8" s="3">
        <v>46.121784999999996</v>
      </c>
      <c r="AR8" s="3">
        <v>46.716771999999992</v>
      </c>
      <c r="AS8" s="3">
        <v>47.121017000000009</v>
      </c>
      <c r="AT8" s="3">
        <v>47.471636000000004</v>
      </c>
      <c r="AU8" s="3">
        <v>47.804391000000003</v>
      </c>
      <c r="AV8" s="3">
        <v>48.054592999999997</v>
      </c>
      <c r="AW8" s="4">
        <v>48.197383999999992</v>
      </c>
    </row>
    <row r="9" spans="1:49" x14ac:dyDescent="0.25">
      <c r="A9" s="15" t="s">
        <v>7</v>
      </c>
      <c r="B9" s="16" t="s">
        <v>12</v>
      </c>
      <c r="C9" s="5">
        <v>17.790168999999999</v>
      </c>
      <c r="D9" s="5">
        <v>18.484453000000002</v>
      </c>
      <c r="E9" s="5">
        <v>19.102481000000001</v>
      </c>
      <c r="F9" s="5">
        <v>19.700361999999998</v>
      </c>
      <c r="G9" s="5">
        <v>21.095802999999997</v>
      </c>
      <c r="H9" s="5">
        <v>22.224167000000001</v>
      </c>
      <c r="I9" s="5">
        <v>23.299572999999999</v>
      </c>
      <c r="J9" s="5">
        <v>24.356921999999997</v>
      </c>
      <c r="K9" s="5">
        <v>25.387658999999999</v>
      </c>
      <c r="L9" s="5">
        <v>26.357362999999999</v>
      </c>
      <c r="M9" s="5">
        <v>27.201132000000001</v>
      </c>
      <c r="N9" s="5">
        <v>28.208382999999998</v>
      </c>
      <c r="O9" s="5">
        <v>29.299158999999996</v>
      </c>
      <c r="P9" s="5">
        <v>30.372191999999998</v>
      </c>
      <c r="Q9" s="5">
        <v>30.920518000000001</v>
      </c>
      <c r="R9" s="5">
        <v>31.609803999999997</v>
      </c>
      <c r="S9" s="5">
        <v>32.294466</v>
      </c>
      <c r="T9" s="5">
        <v>33.034613</v>
      </c>
      <c r="U9" s="5">
        <v>33.678932000000003</v>
      </c>
      <c r="V9" s="5">
        <v>34.192765999999999</v>
      </c>
      <c r="W9" s="5">
        <v>34.610650999999997</v>
      </c>
      <c r="X9" s="5">
        <v>34.932014000000002</v>
      </c>
      <c r="Y9" s="5">
        <v>35.077815999999999</v>
      </c>
      <c r="Z9" s="5">
        <v>35.000195999999995</v>
      </c>
      <c r="AA9" s="5">
        <v>34.772874000000002</v>
      </c>
      <c r="AB9" s="5">
        <v>34.525489</v>
      </c>
      <c r="AC9" s="5">
        <v>34.358148</v>
      </c>
      <c r="AD9" s="5">
        <v>34.302351999999999</v>
      </c>
      <c r="AE9" s="5">
        <v>34.243206000000001</v>
      </c>
      <c r="AF9" s="5">
        <v>34.041122999999999</v>
      </c>
      <c r="AG9" s="5">
        <v>33.705487000000005</v>
      </c>
      <c r="AH9" s="5">
        <v>33.344481000000002</v>
      </c>
      <c r="AI9" s="5">
        <v>33.166755999999999</v>
      </c>
      <c r="AJ9" s="5">
        <v>33.073982000000001</v>
      </c>
      <c r="AK9" s="5">
        <v>33.144770000000001</v>
      </c>
      <c r="AL9" s="5">
        <v>33.269337</v>
      </c>
      <c r="AM9" s="5">
        <v>33.416984999999997</v>
      </c>
      <c r="AN9" s="5">
        <v>33.657682000000001</v>
      </c>
      <c r="AO9" s="5">
        <v>33.883672000000004</v>
      </c>
      <c r="AP9" s="5">
        <v>34.325612</v>
      </c>
      <c r="AQ9" s="5">
        <v>34.897801999999999</v>
      </c>
      <c r="AR9" s="5">
        <v>35.464081</v>
      </c>
      <c r="AS9" s="5">
        <v>36.076308000000004</v>
      </c>
      <c r="AT9" s="5">
        <v>36.750222000000001</v>
      </c>
      <c r="AU9" s="5">
        <v>37.339725000000001</v>
      </c>
      <c r="AV9" s="5">
        <v>37.978637999999997</v>
      </c>
      <c r="AW9" s="6">
        <v>38.666654000000001</v>
      </c>
    </row>
    <row r="10" spans="1:49" x14ac:dyDescent="0.25">
      <c r="A10" s="13" t="s">
        <v>8</v>
      </c>
      <c r="B10" s="14" t="s">
        <v>12</v>
      </c>
      <c r="C10" s="3">
        <v>8.8375649999999979</v>
      </c>
      <c r="D10" s="3">
        <v>8.8536359999999998</v>
      </c>
      <c r="E10" s="3">
        <v>8.9453020000000016</v>
      </c>
      <c r="F10" s="3">
        <v>9.0443900000000017</v>
      </c>
      <c r="G10" s="3">
        <v>9.1489720000000005</v>
      </c>
      <c r="H10" s="3">
        <v>9.3181700000000003</v>
      </c>
      <c r="I10" s="3">
        <v>9.5101449999999996</v>
      </c>
      <c r="J10" s="3">
        <v>9.730675999999999</v>
      </c>
      <c r="K10" s="3">
        <v>10.002893999999998</v>
      </c>
      <c r="L10" s="3">
        <v>10.376638</v>
      </c>
      <c r="M10" s="3">
        <v>10.941058999999999</v>
      </c>
      <c r="N10" s="3">
        <v>11.409383000000002</v>
      </c>
      <c r="O10" s="3">
        <v>11.833279000000003</v>
      </c>
      <c r="P10" s="3">
        <v>12.230746999999997</v>
      </c>
      <c r="Q10" s="3">
        <v>13.205798999999999</v>
      </c>
      <c r="R10" s="3">
        <v>13.977189000000001</v>
      </c>
      <c r="S10" s="3">
        <v>14.692317999999998</v>
      </c>
      <c r="T10" s="3">
        <v>15.385840000000002</v>
      </c>
      <c r="U10" s="3">
        <v>16.052647</v>
      </c>
      <c r="V10" s="3">
        <v>16.687878000000001</v>
      </c>
      <c r="W10" s="3">
        <v>17.275370000000002</v>
      </c>
      <c r="X10" s="3">
        <v>17.941749999999995</v>
      </c>
      <c r="Y10" s="3">
        <v>18.654088999999999</v>
      </c>
      <c r="Z10" s="3">
        <v>19.331209999999999</v>
      </c>
      <c r="AA10" s="3">
        <v>19.790320999999999</v>
      </c>
      <c r="AB10" s="3">
        <v>20.30519</v>
      </c>
      <c r="AC10" s="3">
        <v>20.800816999999999</v>
      </c>
      <c r="AD10" s="3">
        <v>21.338545</v>
      </c>
      <c r="AE10" s="3">
        <v>21.801938000000003</v>
      </c>
      <c r="AF10" s="3">
        <v>22.171231000000002</v>
      </c>
      <c r="AG10" s="3">
        <v>22.482190000000003</v>
      </c>
      <c r="AH10" s="3">
        <v>22.737745000000004</v>
      </c>
      <c r="AI10" s="3">
        <v>22.881513999999996</v>
      </c>
      <c r="AJ10" s="3">
        <v>22.85341</v>
      </c>
      <c r="AK10" s="3">
        <v>22.740569999999998</v>
      </c>
      <c r="AL10" s="3">
        <v>22.623284999999999</v>
      </c>
      <c r="AM10" s="3">
        <v>22.578311000000003</v>
      </c>
      <c r="AN10" s="3">
        <v>22.653993000000003</v>
      </c>
      <c r="AO10" s="3">
        <v>22.722033000000003</v>
      </c>
      <c r="AP10" s="3">
        <v>22.667946000000001</v>
      </c>
      <c r="AQ10" s="3">
        <v>22.514249000000003</v>
      </c>
      <c r="AR10" s="3">
        <v>22.349309999999996</v>
      </c>
      <c r="AS10" s="3">
        <v>22.320376999999997</v>
      </c>
      <c r="AT10" s="3">
        <v>22.314005999999996</v>
      </c>
      <c r="AU10" s="3">
        <v>22.426041999999999</v>
      </c>
      <c r="AV10" s="3">
        <v>22.580469999999998</v>
      </c>
      <c r="AW10" s="4">
        <v>22.772448000000004</v>
      </c>
    </row>
    <row r="11" spans="1:49" x14ac:dyDescent="0.25">
      <c r="A11" s="17" t="s">
        <v>9</v>
      </c>
      <c r="B11" s="18" t="s">
        <v>12</v>
      </c>
      <c r="C11" s="1">
        <v>1.8236100000000002</v>
      </c>
      <c r="D11" s="1">
        <v>1.904617</v>
      </c>
      <c r="E11" s="1">
        <v>1.9803709999999994</v>
      </c>
      <c r="F11" s="1">
        <v>2.0420760000000002</v>
      </c>
      <c r="G11" s="1">
        <v>2.1036479999999997</v>
      </c>
      <c r="H11" s="1">
        <v>2.1589909999999999</v>
      </c>
      <c r="I11" s="1">
        <v>2.2014870000000002</v>
      </c>
      <c r="J11" s="1">
        <v>2.2548159999999995</v>
      </c>
      <c r="K11" s="1">
        <v>2.292192</v>
      </c>
      <c r="L11" s="1">
        <v>2.3226520000000002</v>
      </c>
      <c r="M11" s="1">
        <v>2.3488169999999999</v>
      </c>
      <c r="N11" s="1">
        <v>2.3683710000000002</v>
      </c>
      <c r="O11" s="1">
        <v>2.421373</v>
      </c>
      <c r="P11" s="1">
        <v>2.47336</v>
      </c>
      <c r="Q11" s="1">
        <v>2.528959</v>
      </c>
      <c r="R11" s="1">
        <v>2.6088370000000003</v>
      </c>
      <c r="S11" s="1">
        <v>2.6909680000000002</v>
      </c>
      <c r="T11" s="1">
        <v>2.7875069999999993</v>
      </c>
      <c r="U11" s="1">
        <v>2.8956520000000001</v>
      </c>
      <c r="V11" s="1">
        <v>3.0386390000000003</v>
      </c>
      <c r="W11" s="1">
        <v>3.252564</v>
      </c>
      <c r="X11" s="1">
        <v>3.4111830000000007</v>
      </c>
      <c r="Y11" s="1">
        <v>3.5583780000000003</v>
      </c>
      <c r="Z11" s="1">
        <v>3.6888039999999993</v>
      </c>
      <c r="AA11" s="1">
        <v>4.0651520000000003</v>
      </c>
      <c r="AB11" s="1">
        <v>4.3438399999999993</v>
      </c>
      <c r="AC11" s="1">
        <v>4.5874760000000014</v>
      </c>
      <c r="AD11" s="1">
        <v>4.8203130000000005</v>
      </c>
      <c r="AE11" s="1">
        <v>5.0416829999999999</v>
      </c>
      <c r="AF11" s="1">
        <v>5.2614200000000011</v>
      </c>
      <c r="AG11" s="1">
        <v>5.4904089999999997</v>
      </c>
      <c r="AH11" s="1">
        <v>5.7300089999999999</v>
      </c>
      <c r="AI11" s="1">
        <v>5.9846170000000001</v>
      </c>
      <c r="AJ11" s="1">
        <v>6.214594</v>
      </c>
      <c r="AK11" s="1">
        <v>6.4587900000000014</v>
      </c>
      <c r="AL11" s="1">
        <v>6.6853690000000006</v>
      </c>
      <c r="AM11" s="1">
        <v>6.890644</v>
      </c>
      <c r="AN11" s="1">
        <v>7.1159559999999988</v>
      </c>
      <c r="AO11" s="1">
        <v>7.3072159999999995</v>
      </c>
      <c r="AP11" s="1">
        <v>7.4609540000000001</v>
      </c>
      <c r="AQ11" s="1">
        <v>7.6011939999999996</v>
      </c>
      <c r="AR11" s="1">
        <v>7.730385000000001</v>
      </c>
      <c r="AS11" s="1">
        <v>7.8235580000000002</v>
      </c>
      <c r="AT11" s="1">
        <v>7.8360170000000009</v>
      </c>
      <c r="AU11" s="1">
        <v>7.8334879999999991</v>
      </c>
      <c r="AV11" s="1">
        <v>7.8385249999999997</v>
      </c>
      <c r="AW11" s="2">
        <v>7.8864210000000003</v>
      </c>
    </row>
    <row r="12" spans="1:49" x14ac:dyDescent="0.25">
      <c r="A12" s="13" t="s">
        <v>0</v>
      </c>
      <c r="B12" s="14" t="s">
        <v>13</v>
      </c>
      <c r="C12" s="3">
        <v>22.754255000000001</v>
      </c>
      <c r="D12" s="3">
        <v>22.761724000000001</v>
      </c>
      <c r="E12" s="3">
        <v>22.781452999999999</v>
      </c>
      <c r="F12" s="3">
        <v>22.802713000000001</v>
      </c>
      <c r="G12" s="3">
        <v>22.815847000000002</v>
      </c>
      <c r="H12" s="3">
        <v>22.849036000000002</v>
      </c>
      <c r="I12" s="3">
        <v>22.955174</v>
      </c>
      <c r="J12" s="3">
        <v>23.064496999999999</v>
      </c>
      <c r="K12" s="3">
        <v>23.170659000000001</v>
      </c>
      <c r="L12" s="3">
        <v>23.292905999999999</v>
      </c>
      <c r="M12" s="3">
        <v>23.417756000000001</v>
      </c>
      <c r="N12" s="3">
        <v>23.531459000000002</v>
      </c>
      <c r="O12" s="3">
        <v>23.633676999999999</v>
      </c>
      <c r="P12" s="3">
        <v>23.723663999999999</v>
      </c>
      <c r="Q12" s="3">
        <v>23.801013000000001</v>
      </c>
      <c r="R12" s="3">
        <v>23.866202999999999</v>
      </c>
      <c r="S12" s="3">
        <v>23.920165000000001</v>
      </c>
      <c r="T12" s="3">
        <v>23.964438999999999</v>
      </c>
      <c r="U12" s="3">
        <v>24.001474999999999</v>
      </c>
      <c r="V12" s="3">
        <v>24.033799999999999</v>
      </c>
      <c r="W12" s="3">
        <v>24.063469000000001</v>
      </c>
      <c r="X12" s="3">
        <v>24.092063</v>
      </c>
      <c r="Y12" s="3">
        <v>24.120875999999999</v>
      </c>
      <c r="Z12" s="3">
        <v>24.150963000000001</v>
      </c>
      <c r="AA12" s="3">
        <v>24.18357</v>
      </c>
      <c r="AB12" s="3">
        <v>24.219874000000001</v>
      </c>
      <c r="AC12" s="3">
        <v>24.260558</v>
      </c>
      <c r="AD12" s="3">
        <v>24.306132000000002</v>
      </c>
      <c r="AE12" s="3">
        <v>24.356933999999999</v>
      </c>
      <c r="AF12" s="3">
        <v>24.412934</v>
      </c>
      <c r="AG12" s="3">
        <v>24.4739</v>
      </c>
      <c r="AH12" s="3">
        <v>24.539353999999999</v>
      </c>
      <c r="AI12" s="3">
        <v>24.608792999999999</v>
      </c>
      <c r="AJ12" s="3">
        <v>24.681746</v>
      </c>
      <c r="AK12" s="3">
        <v>24.75779</v>
      </c>
      <c r="AL12" s="3">
        <v>24.836379999999998</v>
      </c>
      <c r="AM12" s="3">
        <v>24.916969000000002</v>
      </c>
      <c r="AN12" s="3">
        <v>24.998953</v>
      </c>
      <c r="AO12" s="3">
        <v>25.081721000000002</v>
      </c>
      <c r="AP12" s="3">
        <v>25.1645</v>
      </c>
      <c r="AQ12" s="3">
        <v>25.246537</v>
      </c>
      <c r="AR12" s="3">
        <v>25.327155999999999</v>
      </c>
      <c r="AS12" s="3">
        <v>25.405729999999998</v>
      </c>
      <c r="AT12" s="3">
        <v>25.48179</v>
      </c>
      <c r="AU12" s="3">
        <v>25.555024</v>
      </c>
      <c r="AV12" s="3">
        <v>25.625246000000001</v>
      </c>
      <c r="AW12" s="4">
        <v>25.692529</v>
      </c>
    </row>
    <row r="13" spans="1:49" x14ac:dyDescent="0.25">
      <c r="A13" s="15" t="s">
        <v>1</v>
      </c>
      <c r="B13" s="16" t="s">
        <v>13</v>
      </c>
      <c r="C13" s="5">
        <v>21.506364000000001</v>
      </c>
      <c r="D13" s="5">
        <v>21.446304000000001</v>
      </c>
      <c r="E13" s="5">
        <v>21.420051000000001</v>
      </c>
      <c r="F13" s="5">
        <v>21.443476</v>
      </c>
      <c r="G13" s="5">
        <v>21.4985</v>
      </c>
      <c r="H13" s="5">
        <v>21.540631999999999</v>
      </c>
      <c r="I13" s="5">
        <v>21.514019000000001</v>
      </c>
      <c r="J13" s="5">
        <v>21.452829000000001</v>
      </c>
      <c r="K13" s="5">
        <v>21.431563000000001</v>
      </c>
      <c r="L13" s="5">
        <v>21.447555000000001</v>
      </c>
      <c r="M13" s="5">
        <v>21.452071</v>
      </c>
      <c r="N13" s="5">
        <v>21.449839999999998</v>
      </c>
      <c r="O13" s="5">
        <v>21.460243999999999</v>
      </c>
      <c r="P13" s="5">
        <v>21.472919000000001</v>
      </c>
      <c r="Q13" s="5">
        <v>21.478601000000001</v>
      </c>
      <c r="R13" s="5">
        <v>21.505427999999998</v>
      </c>
      <c r="S13" s="5">
        <v>21.606452999999998</v>
      </c>
      <c r="T13" s="5">
        <v>21.713049999999999</v>
      </c>
      <c r="U13" s="5">
        <v>21.818632000000001</v>
      </c>
      <c r="V13" s="5">
        <v>21.941514999999999</v>
      </c>
      <c r="W13" s="5">
        <v>22.067834000000001</v>
      </c>
      <c r="X13" s="5">
        <v>22.183519</v>
      </c>
      <c r="Y13" s="5">
        <v>22.288207</v>
      </c>
      <c r="Z13" s="5">
        <v>22.381419999999999</v>
      </c>
      <c r="AA13" s="5">
        <v>22.462613000000001</v>
      </c>
      <c r="AB13" s="5">
        <v>22.531929000000002</v>
      </c>
      <c r="AC13" s="5">
        <v>22.589932000000001</v>
      </c>
      <c r="AD13" s="5">
        <v>22.638013000000001</v>
      </c>
      <c r="AE13" s="5">
        <v>22.678274999999999</v>
      </c>
      <c r="AF13" s="5">
        <v>22.713124000000001</v>
      </c>
      <c r="AG13" s="5">
        <v>22.744440999999998</v>
      </c>
      <c r="AH13" s="5">
        <v>22.773812</v>
      </c>
      <c r="AI13" s="5">
        <v>22.802610999999999</v>
      </c>
      <c r="AJ13" s="5">
        <v>22.832069000000001</v>
      </c>
      <c r="AK13" s="5">
        <v>22.863481</v>
      </c>
      <c r="AL13" s="5">
        <v>22.897984000000001</v>
      </c>
      <c r="AM13" s="5">
        <v>22.936394</v>
      </c>
      <c r="AN13" s="5">
        <v>22.979184</v>
      </c>
      <c r="AO13" s="5">
        <v>23.026641000000001</v>
      </c>
      <c r="AP13" s="5">
        <v>23.078813</v>
      </c>
      <c r="AQ13" s="5">
        <v>23.135434</v>
      </c>
      <c r="AR13" s="5">
        <v>23.196076000000001</v>
      </c>
      <c r="AS13" s="5">
        <v>23.260369000000001</v>
      </c>
      <c r="AT13" s="5">
        <v>23.327950999999999</v>
      </c>
      <c r="AU13" s="5">
        <v>23.398447999999998</v>
      </c>
      <c r="AV13" s="5">
        <v>23.471487</v>
      </c>
      <c r="AW13" s="6">
        <v>23.546468000000001</v>
      </c>
    </row>
    <row r="14" spans="1:49" x14ac:dyDescent="0.25">
      <c r="A14" s="13" t="s">
        <v>2</v>
      </c>
      <c r="B14" s="14" t="s">
        <v>13</v>
      </c>
      <c r="C14" s="3">
        <v>22.816351000000001</v>
      </c>
      <c r="D14" s="3">
        <v>23.121248000000001</v>
      </c>
      <c r="E14" s="3">
        <v>23.308133999999999</v>
      </c>
      <c r="F14" s="3">
        <v>23.457978000000001</v>
      </c>
      <c r="G14" s="3">
        <v>23.591487999999998</v>
      </c>
      <c r="H14" s="3">
        <v>23.677474</v>
      </c>
      <c r="I14" s="3">
        <v>23.699095</v>
      </c>
      <c r="J14" s="3">
        <v>23.655749</v>
      </c>
      <c r="K14" s="3">
        <v>23.558484</v>
      </c>
      <c r="L14" s="3">
        <v>23.428908</v>
      </c>
      <c r="M14" s="3">
        <v>23.350946</v>
      </c>
      <c r="N14" s="3">
        <v>23.316352999999999</v>
      </c>
      <c r="O14" s="3">
        <v>23.315329999999999</v>
      </c>
      <c r="P14" s="3">
        <v>23.362642000000001</v>
      </c>
      <c r="Q14" s="3">
        <v>23.441233</v>
      </c>
      <c r="R14" s="3">
        <v>23.506668000000001</v>
      </c>
      <c r="S14" s="3">
        <v>23.503228</v>
      </c>
      <c r="T14" s="3">
        <v>23.463211000000001</v>
      </c>
      <c r="U14" s="3">
        <v>23.461933999999999</v>
      </c>
      <c r="V14" s="3">
        <v>23.497228</v>
      </c>
      <c r="W14" s="3">
        <v>23.520517000000002</v>
      </c>
      <c r="X14" s="3">
        <v>23.536477999999999</v>
      </c>
      <c r="Y14" s="3">
        <v>23.564502000000001</v>
      </c>
      <c r="Z14" s="3">
        <v>23.594353999999999</v>
      </c>
      <c r="AA14" s="3">
        <v>23.616959999999999</v>
      </c>
      <c r="AB14" s="3">
        <v>23.660188999999999</v>
      </c>
      <c r="AC14" s="3">
        <v>23.776682000000001</v>
      </c>
      <c r="AD14" s="3">
        <v>23.898333999999998</v>
      </c>
      <c r="AE14" s="3">
        <v>24.018653</v>
      </c>
      <c r="AF14" s="3">
        <v>24.155771000000001</v>
      </c>
      <c r="AG14" s="3">
        <v>24.295914</v>
      </c>
      <c r="AH14" s="3">
        <v>24.424952000000001</v>
      </c>
      <c r="AI14" s="3">
        <v>24.542594999999999</v>
      </c>
      <c r="AJ14" s="3">
        <v>24.648306000000002</v>
      </c>
      <c r="AK14" s="3">
        <v>24.741492999999998</v>
      </c>
      <c r="AL14" s="3">
        <v>24.822282999999999</v>
      </c>
      <c r="AM14" s="3">
        <v>24.891265000000001</v>
      </c>
      <c r="AN14" s="3">
        <v>24.949863000000001</v>
      </c>
      <c r="AO14" s="3">
        <v>25.0002</v>
      </c>
      <c r="AP14" s="3">
        <v>25.044654000000001</v>
      </c>
      <c r="AQ14" s="3">
        <v>25.085097000000001</v>
      </c>
      <c r="AR14" s="3">
        <v>25.123085</v>
      </c>
      <c r="AS14" s="3">
        <v>25.16001</v>
      </c>
      <c r="AT14" s="3">
        <v>25.197056</v>
      </c>
      <c r="AU14" s="3">
        <v>25.235567</v>
      </c>
      <c r="AV14" s="3">
        <v>25.276744000000001</v>
      </c>
      <c r="AW14" s="4">
        <v>25.321307000000001</v>
      </c>
    </row>
    <row r="15" spans="1:49" x14ac:dyDescent="0.25">
      <c r="A15" s="15" t="s">
        <v>3</v>
      </c>
      <c r="B15" s="16" t="s">
        <v>13</v>
      </c>
      <c r="C15" s="5">
        <v>20.538098000000002</v>
      </c>
      <c r="D15" s="5">
        <v>20.839707000000001</v>
      </c>
      <c r="E15" s="5">
        <v>21.160512000000001</v>
      </c>
      <c r="F15" s="5">
        <v>21.543513999999998</v>
      </c>
      <c r="G15" s="5">
        <v>21.874836999999999</v>
      </c>
      <c r="H15" s="5">
        <v>22.230930000000001</v>
      </c>
      <c r="I15" s="5">
        <v>22.611753</v>
      </c>
      <c r="J15" s="5">
        <v>22.954681000000001</v>
      </c>
      <c r="K15" s="5">
        <v>23.366631000000002</v>
      </c>
      <c r="L15" s="5">
        <v>23.731539999999999</v>
      </c>
      <c r="M15" s="5">
        <v>24.050643000000001</v>
      </c>
      <c r="N15" s="5">
        <v>24.368316</v>
      </c>
      <c r="O15" s="5">
        <v>24.569911999999999</v>
      </c>
      <c r="P15" s="5">
        <v>24.735282000000002</v>
      </c>
      <c r="Q15" s="5">
        <v>24.885180999999999</v>
      </c>
      <c r="R15" s="5">
        <v>24.989609000000002</v>
      </c>
      <c r="S15" s="5">
        <v>25.031133000000001</v>
      </c>
      <c r="T15" s="5">
        <v>25.007878999999999</v>
      </c>
      <c r="U15" s="5">
        <v>24.931626000000001</v>
      </c>
      <c r="V15" s="5">
        <v>24.823239999999998</v>
      </c>
      <c r="W15" s="5">
        <v>24.764952000000001</v>
      </c>
      <c r="X15" s="5">
        <v>24.749445000000001</v>
      </c>
      <c r="Y15" s="5">
        <v>24.767071000000001</v>
      </c>
      <c r="Z15" s="5">
        <v>24.831941</v>
      </c>
      <c r="AA15" s="5">
        <v>24.927161999999999</v>
      </c>
      <c r="AB15" s="5">
        <v>25.009038</v>
      </c>
      <c r="AC15" s="5">
        <v>25.022071</v>
      </c>
      <c r="AD15" s="5">
        <v>24.998177999999999</v>
      </c>
      <c r="AE15" s="5">
        <v>25.011883999999998</v>
      </c>
      <c r="AF15" s="5">
        <v>25.061211</v>
      </c>
      <c r="AG15" s="5">
        <v>25.098151000000001</v>
      </c>
      <c r="AH15" s="5">
        <v>25.127233</v>
      </c>
      <c r="AI15" s="5">
        <v>25.167752</v>
      </c>
      <c r="AJ15" s="5">
        <v>25.209537000000001</v>
      </c>
      <c r="AK15" s="5">
        <v>25.243839000000001</v>
      </c>
      <c r="AL15" s="5">
        <v>25.298162999999999</v>
      </c>
      <c r="AM15" s="5">
        <v>25.424809</v>
      </c>
      <c r="AN15" s="5">
        <v>25.556289</v>
      </c>
      <c r="AO15" s="5">
        <v>25.686114</v>
      </c>
      <c r="AP15" s="5">
        <v>25.832301000000001</v>
      </c>
      <c r="AQ15" s="5">
        <v>25.981185</v>
      </c>
      <c r="AR15" s="5">
        <v>26.11853</v>
      </c>
      <c r="AS15" s="5">
        <v>26.244219000000001</v>
      </c>
      <c r="AT15" s="5">
        <v>26.357543</v>
      </c>
      <c r="AU15" s="5">
        <v>26.45797</v>
      </c>
      <c r="AV15" s="5">
        <v>26.545708000000001</v>
      </c>
      <c r="AW15" s="6">
        <v>26.621296999999998</v>
      </c>
    </row>
    <row r="16" spans="1:49" x14ac:dyDescent="0.25">
      <c r="A16" s="13" t="s">
        <v>4</v>
      </c>
      <c r="B16" s="14" t="s">
        <v>13</v>
      </c>
      <c r="C16" s="3">
        <v>20.838602000000002</v>
      </c>
      <c r="D16" s="3">
        <v>20.528744</v>
      </c>
      <c r="E16" s="3">
        <v>20.333521999999999</v>
      </c>
      <c r="F16" s="3">
        <v>20.208351</v>
      </c>
      <c r="G16" s="3">
        <v>20.188094</v>
      </c>
      <c r="H16" s="3">
        <v>20.199286000000001</v>
      </c>
      <c r="I16" s="3">
        <v>20.217390999999999</v>
      </c>
      <c r="J16" s="3">
        <v>20.271806000000002</v>
      </c>
      <c r="K16" s="3">
        <v>20.321825</v>
      </c>
      <c r="L16" s="3">
        <v>20.521369</v>
      </c>
      <c r="M16" s="3">
        <v>20.822524000000001</v>
      </c>
      <c r="N16" s="3">
        <v>21.127946999999999</v>
      </c>
      <c r="O16" s="3">
        <v>21.453341000000002</v>
      </c>
      <c r="P16" s="3">
        <v>21.839486000000001</v>
      </c>
      <c r="Q16" s="3">
        <v>22.175858000000002</v>
      </c>
      <c r="R16" s="3">
        <v>22.537528999999999</v>
      </c>
      <c r="S16" s="3">
        <v>22.925118000000001</v>
      </c>
      <c r="T16" s="3">
        <v>23.278680000000001</v>
      </c>
      <c r="U16" s="3">
        <v>23.6996</v>
      </c>
      <c r="V16" s="3">
        <v>24.074383999999998</v>
      </c>
      <c r="W16" s="3">
        <v>24.404648999999999</v>
      </c>
      <c r="X16" s="3">
        <v>24.732127999999999</v>
      </c>
      <c r="Y16" s="3">
        <v>24.945664000000001</v>
      </c>
      <c r="Z16" s="3">
        <v>25.122819</v>
      </c>
      <c r="AA16" s="3">
        <v>25.284410000000001</v>
      </c>
      <c r="AB16" s="3">
        <v>25.401149</v>
      </c>
      <c r="AC16" s="3">
        <v>25.455500000000001</v>
      </c>
      <c r="AD16" s="3">
        <v>25.446660999999999</v>
      </c>
      <c r="AE16" s="3">
        <v>25.385511000000001</v>
      </c>
      <c r="AF16" s="3">
        <v>25.292335000000001</v>
      </c>
      <c r="AG16" s="3">
        <v>25.247919</v>
      </c>
      <c r="AH16" s="3">
        <v>25.245768000000002</v>
      </c>
      <c r="AI16" s="3">
        <v>25.276153999999998</v>
      </c>
      <c r="AJ16" s="3">
        <v>25.352563</v>
      </c>
      <c r="AK16" s="3">
        <v>25.458480000000002</v>
      </c>
      <c r="AL16" s="3">
        <v>25.550885000000001</v>
      </c>
      <c r="AM16" s="3">
        <v>25.57451</v>
      </c>
      <c r="AN16" s="3">
        <v>25.561305000000001</v>
      </c>
      <c r="AO16" s="3">
        <v>25.584444999999999</v>
      </c>
      <c r="AP16" s="3">
        <v>25.642056</v>
      </c>
      <c r="AQ16" s="3">
        <v>25.687004999999999</v>
      </c>
      <c r="AR16" s="3">
        <v>25.723644</v>
      </c>
      <c r="AS16" s="3">
        <v>25.771263000000001</v>
      </c>
      <c r="AT16" s="3">
        <v>25.819889</v>
      </c>
      <c r="AU16" s="3">
        <v>25.860984999999999</v>
      </c>
      <c r="AV16" s="3">
        <v>25.921664</v>
      </c>
      <c r="AW16" s="4">
        <v>26.053574000000001</v>
      </c>
    </row>
    <row r="17" spans="1:49" x14ac:dyDescent="0.25">
      <c r="A17" s="15" t="s">
        <v>5</v>
      </c>
      <c r="B17" s="16" t="s">
        <v>13</v>
      </c>
      <c r="C17" s="5">
        <v>21.216904</v>
      </c>
      <c r="D17" s="5">
        <v>21.375198000000001</v>
      </c>
      <c r="E17" s="5">
        <v>21.422667000000001</v>
      </c>
      <c r="F17" s="5">
        <v>21.343229999999998</v>
      </c>
      <c r="G17" s="5">
        <v>21.160658999999999</v>
      </c>
      <c r="H17" s="5">
        <v>20.967452999999999</v>
      </c>
      <c r="I17" s="5">
        <v>20.817378999999999</v>
      </c>
      <c r="J17" s="5">
        <v>20.714531999999998</v>
      </c>
      <c r="K17" s="5">
        <v>20.611153000000002</v>
      </c>
      <c r="L17" s="5">
        <v>20.42868</v>
      </c>
      <c r="M17" s="5">
        <v>20.165209000000001</v>
      </c>
      <c r="N17" s="5">
        <v>19.887874</v>
      </c>
      <c r="O17" s="5">
        <v>19.719678999999999</v>
      </c>
      <c r="P17" s="5">
        <v>19.615251000000001</v>
      </c>
      <c r="Q17" s="5">
        <v>19.611048</v>
      </c>
      <c r="R17" s="5">
        <v>19.638099</v>
      </c>
      <c r="S17" s="5">
        <v>19.673532000000002</v>
      </c>
      <c r="T17" s="5">
        <v>19.749827</v>
      </c>
      <c r="U17" s="5">
        <v>19.821587999999998</v>
      </c>
      <c r="V17" s="5">
        <v>20.035620000000002</v>
      </c>
      <c r="W17" s="5">
        <v>20.344446000000001</v>
      </c>
      <c r="X17" s="5">
        <v>20.656071000000001</v>
      </c>
      <c r="Y17" s="5">
        <v>20.989055</v>
      </c>
      <c r="Z17" s="5">
        <v>21.37894</v>
      </c>
      <c r="AA17" s="5">
        <v>21.721278000000002</v>
      </c>
      <c r="AB17" s="5">
        <v>22.088424</v>
      </c>
      <c r="AC17" s="5">
        <v>22.482101</v>
      </c>
      <c r="AD17" s="5">
        <v>22.846575000000001</v>
      </c>
      <c r="AE17" s="5">
        <v>23.274304000000001</v>
      </c>
      <c r="AF17" s="5">
        <v>23.656713</v>
      </c>
      <c r="AG17" s="5">
        <v>23.996154000000001</v>
      </c>
      <c r="AH17" s="5">
        <v>24.330991000000001</v>
      </c>
      <c r="AI17" s="5">
        <v>24.555667</v>
      </c>
      <c r="AJ17" s="5">
        <v>24.744033000000002</v>
      </c>
      <c r="AK17" s="5">
        <v>24.916701</v>
      </c>
      <c r="AL17" s="5">
        <v>25.046344000000001</v>
      </c>
      <c r="AM17" s="5">
        <v>25.115687000000001</v>
      </c>
      <c r="AN17" s="5">
        <v>25.125461000000001</v>
      </c>
      <c r="AO17" s="5">
        <v>25.084372999999999</v>
      </c>
      <c r="AP17" s="5">
        <v>25.011503999999999</v>
      </c>
      <c r="AQ17" s="5">
        <v>24.985358999999999</v>
      </c>
      <c r="AR17" s="5">
        <v>25.000527999999999</v>
      </c>
      <c r="AS17" s="5">
        <v>25.046924000000001</v>
      </c>
      <c r="AT17" s="5">
        <v>25.137284000000001</v>
      </c>
      <c r="AU17" s="5">
        <v>25.256018000000001</v>
      </c>
      <c r="AV17" s="5">
        <v>25.361139999999999</v>
      </c>
      <c r="AW17" s="6">
        <v>25.397935</v>
      </c>
    </row>
    <row r="18" spans="1:49" x14ac:dyDescent="0.25">
      <c r="A18" s="13" t="s">
        <v>6</v>
      </c>
      <c r="B18" s="14" t="s">
        <v>13</v>
      </c>
      <c r="C18" s="3">
        <v>15.373585</v>
      </c>
      <c r="D18" s="3">
        <v>15.917311</v>
      </c>
      <c r="E18" s="3">
        <v>16.516093999999999</v>
      </c>
      <c r="F18" s="3">
        <v>17.108985000000001</v>
      </c>
      <c r="G18" s="3">
        <v>17.365407999999999</v>
      </c>
      <c r="H18" s="3">
        <v>17.718381999999998</v>
      </c>
      <c r="I18" s="3">
        <v>18.078467</v>
      </c>
      <c r="J18" s="3">
        <v>18.474793999999999</v>
      </c>
      <c r="K18" s="3">
        <v>18.816984000000001</v>
      </c>
      <c r="L18" s="3">
        <v>19.088736000000001</v>
      </c>
      <c r="M18" s="3">
        <v>19.309006</v>
      </c>
      <c r="N18" s="3">
        <v>19.476758</v>
      </c>
      <c r="O18" s="3">
        <v>19.545757999999999</v>
      </c>
      <c r="P18" s="3">
        <v>19.496130999999998</v>
      </c>
      <c r="Q18" s="3">
        <v>19.354883999999998</v>
      </c>
      <c r="R18" s="3">
        <v>19.204018999999999</v>
      </c>
      <c r="S18" s="3">
        <v>19.095123000000001</v>
      </c>
      <c r="T18" s="3">
        <v>19.036902999999999</v>
      </c>
      <c r="U18" s="3">
        <v>18.975743999999999</v>
      </c>
      <c r="V18" s="3">
        <v>18.838383</v>
      </c>
      <c r="W18" s="3">
        <v>18.625335</v>
      </c>
      <c r="X18" s="3">
        <v>18.400321000000002</v>
      </c>
      <c r="Y18" s="3">
        <v>18.276592000000001</v>
      </c>
      <c r="Z18" s="3">
        <v>18.206177</v>
      </c>
      <c r="AA18" s="3">
        <v>18.227571000000001</v>
      </c>
      <c r="AB18" s="3">
        <v>18.278655000000001</v>
      </c>
      <c r="AC18" s="3">
        <v>18.339585</v>
      </c>
      <c r="AD18" s="3">
        <v>18.446052999999999</v>
      </c>
      <c r="AE18" s="3">
        <v>18.547352</v>
      </c>
      <c r="AF18" s="3">
        <v>18.777888000000001</v>
      </c>
      <c r="AG18" s="3">
        <v>19.092587000000002</v>
      </c>
      <c r="AH18" s="3">
        <v>19.408068</v>
      </c>
      <c r="AI18" s="3">
        <v>19.746483999999999</v>
      </c>
      <c r="AJ18" s="3">
        <v>20.134817000000002</v>
      </c>
      <c r="AK18" s="3">
        <v>20.479416000000001</v>
      </c>
      <c r="AL18" s="3">
        <v>20.847439999999999</v>
      </c>
      <c r="AM18" s="3">
        <v>21.2422</v>
      </c>
      <c r="AN18" s="3">
        <v>21.615431999999998</v>
      </c>
      <c r="AO18" s="3">
        <v>22.045254</v>
      </c>
      <c r="AP18" s="3">
        <v>22.431654999999999</v>
      </c>
      <c r="AQ18" s="3">
        <v>22.776959000000002</v>
      </c>
      <c r="AR18" s="3">
        <v>23.115245999999999</v>
      </c>
      <c r="AS18" s="3">
        <v>23.350923000000002</v>
      </c>
      <c r="AT18" s="3">
        <v>23.550943</v>
      </c>
      <c r="AU18" s="3">
        <v>23.735472000000001</v>
      </c>
      <c r="AV18" s="3">
        <v>23.880165000000002</v>
      </c>
      <c r="AW18" s="4">
        <v>23.969182</v>
      </c>
    </row>
    <row r="19" spans="1:49" x14ac:dyDescent="0.25">
      <c r="A19" s="15" t="s">
        <v>7</v>
      </c>
      <c r="B19" s="16" t="s">
        <v>13</v>
      </c>
      <c r="C19" s="5">
        <v>8.0047540000000001</v>
      </c>
      <c r="D19" s="5">
        <v>8.3362479999999994</v>
      </c>
      <c r="E19" s="5">
        <v>8.6339349999999992</v>
      </c>
      <c r="F19" s="5">
        <v>8.9186990000000002</v>
      </c>
      <c r="G19" s="5">
        <v>9.5779399999999999</v>
      </c>
      <c r="H19" s="5">
        <v>10.105755</v>
      </c>
      <c r="I19" s="5">
        <v>10.599569000000001</v>
      </c>
      <c r="J19" s="5">
        <v>11.085910999999999</v>
      </c>
      <c r="K19" s="5">
        <v>11.555491</v>
      </c>
      <c r="L19" s="5">
        <v>11.996477000000001</v>
      </c>
      <c r="M19" s="5">
        <v>12.378310000000001</v>
      </c>
      <c r="N19" s="5">
        <v>12.832777999999999</v>
      </c>
      <c r="O19" s="5">
        <v>13.329167999999999</v>
      </c>
      <c r="P19" s="5">
        <v>13.812944</v>
      </c>
      <c r="Q19" s="5">
        <v>14.065154</v>
      </c>
      <c r="R19" s="5">
        <v>14.385147999999999</v>
      </c>
      <c r="S19" s="5">
        <v>14.706108</v>
      </c>
      <c r="T19" s="5">
        <v>15.059544000000001</v>
      </c>
      <c r="U19" s="5">
        <v>15.365067</v>
      </c>
      <c r="V19" s="5">
        <v>15.610639000000001</v>
      </c>
      <c r="W19" s="5">
        <v>15.814594</v>
      </c>
      <c r="X19" s="5">
        <v>15.977776</v>
      </c>
      <c r="Y19" s="5">
        <v>16.062647999999999</v>
      </c>
      <c r="Z19" s="5">
        <v>16.043019999999999</v>
      </c>
      <c r="AA19" s="5">
        <v>15.952299</v>
      </c>
      <c r="AB19" s="5">
        <v>15.855781</v>
      </c>
      <c r="AC19" s="5">
        <v>15.799182</v>
      </c>
      <c r="AD19" s="5">
        <v>15.797946</v>
      </c>
      <c r="AE19" s="5">
        <v>15.791057</v>
      </c>
      <c r="AF19" s="5">
        <v>15.713722000000001</v>
      </c>
      <c r="AG19" s="5">
        <v>15.570808</v>
      </c>
      <c r="AH19" s="5">
        <v>15.420315</v>
      </c>
      <c r="AI19" s="5">
        <v>15.357931000000001</v>
      </c>
      <c r="AJ19" s="5">
        <v>15.329355</v>
      </c>
      <c r="AK19" s="5">
        <v>15.378080000000001</v>
      </c>
      <c r="AL19" s="5">
        <v>15.453739000000001</v>
      </c>
      <c r="AM19" s="5">
        <v>15.543145000000001</v>
      </c>
      <c r="AN19" s="5">
        <v>15.688158</v>
      </c>
      <c r="AO19" s="5">
        <v>15.825778</v>
      </c>
      <c r="AP19" s="5">
        <v>16.066848</v>
      </c>
      <c r="AQ19" s="5">
        <v>16.371123000000001</v>
      </c>
      <c r="AR19" s="5">
        <v>16.671202999999998</v>
      </c>
      <c r="AS19" s="5">
        <v>16.997441999999999</v>
      </c>
      <c r="AT19" s="5">
        <v>17.359082000000001</v>
      </c>
      <c r="AU19" s="5">
        <v>17.684275</v>
      </c>
      <c r="AV19" s="5">
        <v>18.030663000000001</v>
      </c>
      <c r="AW19" s="6">
        <v>18.403915000000001</v>
      </c>
    </row>
    <row r="20" spans="1:49" x14ac:dyDescent="0.25">
      <c r="A20" s="13" t="s">
        <v>8</v>
      </c>
      <c r="B20" s="14" t="s">
        <v>13</v>
      </c>
      <c r="C20" s="3">
        <v>3.425414</v>
      </c>
      <c r="D20" s="3">
        <v>3.4618199999999999</v>
      </c>
      <c r="E20" s="3">
        <v>3.5278459999999998</v>
      </c>
      <c r="F20" s="3">
        <v>3.5949399999999998</v>
      </c>
      <c r="G20" s="3">
        <v>3.6623779999999999</v>
      </c>
      <c r="H20" s="3">
        <v>3.755916</v>
      </c>
      <c r="I20" s="3">
        <v>3.8574099999999998</v>
      </c>
      <c r="J20" s="3">
        <v>3.9663889999999999</v>
      </c>
      <c r="K20" s="3">
        <v>4.0931329999999999</v>
      </c>
      <c r="L20" s="3">
        <v>4.264113</v>
      </c>
      <c r="M20" s="3">
        <v>4.5172280000000002</v>
      </c>
      <c r="N20" s="3">
        <v>4.7234069999999999</v>
      </c>
      <c r="O20" s="3">
        <v>4.91113</v>
      </c>
      <c r="P20" s="3">
        <v>5.0854889999999999</v>
      </c>
      <c r="Q20" s="3">
        <v>5.5157369999999997</v>
      </c>
      <c r="R20" s="3">
        <v>5.8510160000000004</v>
      </c>
      <c r="S20" s="3">
        <v>6.1551419999999997</v>
      </c>
      <c r="T20" s="3">
        <v>6.449287</v>
      </c>
      <c r="U20" s="3">
        <v>6.7284410000000001</v>
      </c>
      <c r="V20" s="3">
        <v>6.9951610000000004</v>
      </c>
      <c r="W20" s="3">
        <v>7.2422430000000002</v>
      </c>
      <c r="X20" s="3">
        <v>7.5205349999999997</v>
      </c>
      <c r="Y20" s="3">
        <v>7.8218529999999999</v>
      </c>
      <c r="Z20" s="3">
        <v>8.1053060000000006</v>
      </c>
      <c r="AA20" s="3">
        <v>8.3080099999999995</v>
      </c>
      <c r="AB20" s="3">
        <v>8.5348550000000003</v>
      </c>
      <c r="AC20" s="3">
        <v>8.7542050000000007</v>
      </c>
      <c r="AD20" s="3">
        <v>8.996931</v>
      </c>
      <c r="AE20" s="3">
        <v>9.2035730000000004</v>
      </c>
      <c r="AF20" s="3">
        <v>9.3701089999999994</v>
      </c>
      <c r="AG20" s="3">
        <v>9.5130429999999997</v>
      </c>
      <c r="AH20" s="3">
        <v>9.6351040000000001</v>
      </c>
      <c r="AI20" s="3">
        <v>9.7122379999999993</v>
      </c>
      <c r="AJ20" s="3">
        <v>9.7127649999999992</v>
      </c>
      <c r="AK20" s="3">
        <v>9.676361</v>
      </c>
      <c r="AL20" s="3">
        <v>9.6419870000000003</v>
      </c>
      <c r="AM20" s="3">
        <v>9.6423240000000003</v>
      </c>
      <c r="AN20" s="3">
        <v>9.7009509999999999</v>
      </c>
      <c r="AO20" s="3">
        <v>9.7511100000000006</v>
      </c>
      <c r="AP20" s="3">
        <v>9.7439239999999998</v>
      </c>
      <c r="AQ20" s="3">
        <v>9.6899580000000007</v>
      </c>
      <c r="AR20" s="3">
        <v>9.6350580000000008</v>
      </c>
      <c r="AS20" s="3">
        <v>9.6435200000000005</v>
      </c>
      <c r="AT20" s="3">
        <v>9.6557220000000008</v>
      </c>
      <c r="AU20" s="3">
        <v>9.720777</v>
      </c>
      <c r="AV20" s="3">
        <v>9.8073250000000005</v>
      </c>
      <c r="AW20" s="4">
        <v>9.9141770000000005</v>
      </c>
    </row>
    <row r="21" spans="1:49" x14ac:dyDescent="0.25">
      <c r="A21" s="17" t="s">
        <v>9</v>
      </c>
      <c r="B21" s="18" t="s">
        <v>13</v>
      </c>
      <c r="C21" s="1">
        <v>0.52527500000000005</v>
      </c>
      <c r="D21" s="1">
        <v>0.55673399999999995</v>
      </c>
      <c r="E21" s="1">
        <v>0.58654399999999995</v>
      </c>
      <c r="F21" s="1">
        <v>0.61284899999999998</v>
      </c>
      <c r="G21" s="1">
        <v>0.639903</v>
      </c>
      <c r="H21" s="1">
        <v>0.66487200000000002</v>
      </c>
      <c r="I21" s="1">
        <v>0.68616200000000005</v>
      </c>
      <c r="J21" s="1">
        <v>0.71096800000000004</v>
      </c>
      <c r="K21" s="1">
        <v>0.73023800000000005</v>
      </c>
      <c r="L21" s="1">
        <v>0.74691300000000005</v>
      </c>
      <c r="M21" s="1">
        <v>0.76166299999999998</v>
      </c>
      <c r="N21" s="1">
        <v>0.77405599999999997</v>
      </c>
      <c r="O21" s="1">
        <v>0.79778800000000005</v>
      </c>
      <c r="P21" s="1">
        <v>0.82126299999999997</v>
      </c>
      <c r="Q21" s="1">
        <v>0.84563200000000005</v>
      </c>
      <c r="R21" s="1">
        <v>0.87859500000000001</v>
      </c>
      <c r="S21" s="1">
        <v>0.91241099999999997</v>
      </c>
      <c r="T21" s="1">
        <v>0.94938</v>
      </c>
      <c r="U21" s="1">
        <v>0.98966699999999996</v>
      </c>
      <c r="V21" s="1">
        <v>1.0436190000000001</v>
      </c>
      <c r="W21" s="1">
        <v>1.124072</v>
      </c>
      <c r="X21" s="1">
        <v>1.1820809999999999</v>
      </c>
      <c r="Y21" s="1">
        <v>1.235506</v>
      </c>
      <c r="Z21" s="1">
        <v>1.2827459999999999</v>
      </c>
      <c r="AA21" s="1">
        <v>1.4249160000000001</v>
      </c>
      <c r="AB21" s="1">
        <v>1.526769</v>
      </c>
      <c r="AC21" s="1">
        <v>1.6131850000000001</v>
      </c>
      <c r="AD21" s="1">
        <v>1.6948970000000001</v>
      </c>
      <c r="AE21" s="1">
        <v>1.7712490000000001</v>
      </c>
      <c r="AF21" s="1">
        <v>1.8481730000000001</v>
      </c>
      <c r="AG21" s="1">
        <v>1.928418</v>
      </c>
      <c r="AH21" s="1">
        <v>2.0129570000000001</v>
      </c>
      <c r="AI21" s="1">
        <v>2.1054089999999999</v>
      </c>
      <c r="AJ21" s="1">
        <v>2.1884679999999999</v>
      </c>
      <c r="AK21" s="1">
        <v>2.2783980000000001</v>
      </c>
      <c r="AL21" s="1">
        <v>2.3628550000000001</v>
      </c>
      <c r="AM21" s="1">
        <v>2.4395799999999999</v>
      </c>
      <c r="AN21" s="1">
        <v>2.5262470000000001</v>
      </c>
      <c r="AO21" s="1">
        <v>2.597915</v>
      </c>
      <c r="AP21" s="1">
        <v>2.6561669999999999</v>
      </c>
      <c r="AQ21" s="1">
        <v>2.7097159999999998</v>
      </c>
      <c r="AR21" s="1">
        <v>2.7604039999999999</v>
      </c>
      <c r="AS21" s="1">
        <v>2.7994919999999999</v>
      </c>
      <c r="AT21" s="1">
        <v>2.8071510000000002</v>
      </c>
      <c r="AU21" s="1">
        <v>2.8093210000000002</v>
      </c>
      <c r="AV21" s="1">
        <v>2.8172069999999998</v>
      </c>
      <c r="AW21" s="2">
        <v>2.8434270000000001</v>
      </c>
    </row>
    <row r="22" spans="1:49" x14ac:dyDescent="0.25">
      <c r="A22" s="13" t="s">
        <v>0</v>
      </c>
      <c r="B22" s="14" t="s">
        <v>14</v>
      </c>
      <c r="C22" s="3">
        <v>21.779051000000003</v>
      </c>
      <c r="D22" s="3">
        <v>21.782436999999994</v>
      </c>
      <c r="E22" s="3">
        <v>21.800421</v>
      </c>
      <c r="F22" s="3">
        <v>21.821945999999993</v>
      </c>
      <c r="G22" s="3">
        <v>21.833916000000006</v>
      </c>
      <c r="H22" s="3">
        <v>21.860439999999993</v>
      </c>
      <c r="I22" s="3">
        <v>21.954167999999996</v>
      </c>
      <c r="J22" s="3">
        <v>22.051919000000009</v>
      </c>
      <c r="K22" s="3">
        <v>22.153849000000008</v>
      </c>
      <c r="L22" s="3">
        <v>22.26813300000001</v>
      </c>
      <c r="M22" s="3">
        <v>22.387869999999996</v>
      </c>
      <c r="N22" s="3">
        <v>22.496424999999999</v>
      </c>
      <c r="O22" s="3">
        <v>22.593969000000001</v>
      </c>
      <c r="P22" s="3">
        <v>22.679894000000004</v>
      </c>
      <c r="Q22" s="3">
        <v>22.753734000000005</v>
      </c>
      <c r="R22" s="3">
        <v>22.816012000000001</v>
      </c>
      <c r="S22" s="3">
        <v>22.867510999999997</v>
      </c>
      <c r="T22" s="3">
        <v>22.909734999999998</v>
      </c>
      <c r="U22" s="3">
        <v>22.945099999999996</v>
      </c>
      <c r="V22" s="3">
        <v>22.975946</v>
      </c>
      <c r="W22" s="3">
        <v>23.004291000000006</v>
      </c>
      <c r="X22" s="3">
        <v>23.031625999999999</v>
      </c>
      <c r="Y22" s="3">
        <v>23.059066999999995</v>
      </c>
      <c r="Z22" s="3">
        <v>23.087721999999996</v>
      </c>
      <c r="AA22" s="3">
        <v>23.118754999999997</v>
      </c>
      <c r="AB22" s="3">
        <v>23.153347</v>
      </c>
      <c r="AC22" s="3">
        <v>23.192145</v>
      </c>
      <c r="AD22" s="3">
        <v>23.235548999999995</v>
      </c>
      <c r="AE22" s="3">
        <v>23.283973999999997</v>
      </c>
      <c r="AF22" s="3">
        <v>23.337333999999998</v>
      </c>
      <c r="AG22" s="3">
        <v>23.395412999999998</v>
      </c>
      <c r="AH22" s="3">
        <v>23.457787</v>
      </c>
      <c r="AI22" s="3">
        <v>23.523950999999997</v>
      </c>
      <c r="AJ22" s="3">
        <v>23.593463000000003</v>
      </c>
      <c r="AK22" s="3">
        <v>23.665915000000005</v>
      </c>
      <c r="AL22" s="3">
        <v>23.740826999999996</v>
      </c>
      <c r="AM22" s="3">
        <v>23.817614999999996</v>
      </c>
      <c r="AN22" s="3">
        <v>23.895762000000005</v>
      </c>
      <c r="AO22" s="3">
        <v>23.974615999999997</v>
      </c>
      <c r="AP22" s="3">
        <v>24.053456000000008</v>
      </c>
      <c r="AQ22" s="3">
        <v>24.13162800000001</v>
      </c>
      <c r="AR22" s="3">
        <v>24.208471999999997</v>
      </c>
      <c r="AS22" s="3">
        <v>24.283383000000001</v>
      </c>
      <c r="AT22" s="3">
        <v>24.355941999999995</v>
      </c>
      <c r="AU22" s="3">
        <v>24.425834999999996</v>
      </c>
      <c r="AV22" s="3">
        <v>24.492948000000002</v>
      </c>
      <c r="AW22" s="4">
        <v>24.557225000000003</v>
      </c>
    </row>
    <row r="23" spans="1:49" x14ac:dyDescent="0.25">
      <c r="A23" s="15" t="s">
        <v>1</v>
      </c>
      <c r="B23" s="16" t="s">
        <v>14</v>
      </c>
      <c r="C23" s="5">
        <v>20.511984999999999</v>
      </c>
      <c r="D23" s="5">
        <v>20.481379</v>
      </c>
      <c r="E23" s="5">
        <v>20.476515000000006</v>
      </c>
      <c r="F23" s="5">
        <v>20.510155000000001</v>
      </c>
      <c r="G23" s="5">
        <v>20.565976999999997</v>
      </c>
      <c r="H23" s="5">
        <v>20.617087999999999</v>
      </c>
      <c r="I23" s="5">
        <v>20.604514999999996</v>
      </c>
      <c r="J23" s="5">
        <v>20.557879999999997</v>
      </c>
      <c r="K23" s="5">
        <v>20.535608999999997</v>
      </c>
      <c r="L23" s="5">
        <v>20.548752</v>
      </c>
      <c r="M23" s="5">
        <v>20.547731000000002</v>
      </c>
      <c r="N23" s="5">
        <v>20.543057000000001</v>
      </c>
      <c r="O23" s="5">
        <v>20.553155</v>
      </c>
      <c r="P23" s="5">
        <v>20.56701</v>
      </c>
      <c r="Q23" s="5">
        <v>20.572268999999995</v>
      </c>
      <c r="R23" s="5">
        <v>20.593043000000005</v>
      </c>
      <c r="S23" s="5">
        <v>20.682214999999996</v>
      </c>
      <c r="T23" s="5">
        <v>20.777663999999998</v>
      </c>
      <c r="U23" s="5">
        <v>20.879094000000002</v>
      </c>
      <c r="V23" s="5">
        <v>20.993936000000009</v>
      </c>
      <c r="W23" s="5">
        <v>21.114873999999997</v>
      </c>
      <c r="X23" s="5">
        <v>21.22512</v>
      </c>
      <c r="Y23" s="5">
        <v>21.324846000000001</v>
      </c>
      <c r="Z23" s="5">
        <v>21.413709000000004</v>
      </c>
      <c r="AA23" s="5">
        <v>21.491147000000002</v>
      </c>
      <c r="AB23" s="5">
        <v>21.557179999999999</v>
      </c>
      <c r="AC23" s="5">
        <v>21.612408999999996</v>
      </c>
      <c r="AD23" s="5">
        <v>21.658177000000002</v>
      </c>
      <c r="AE23" s="5">
        <v>21.696535999999995</v>
      </c>
      <c r="AF23" s="5">
        <v>21.729646999999993</v>
      </c>
      <c r="AG23" s="5">
        <v>21.759373999999998</v>
      </c>
      <c r="AH23" s="5">
        <v>21.787271000000004</v>
      </c>
      <c r="AI23" s="5">
        <v>21.814671000000011</v>
      </c>
      <c r="AJ23" s="5">
        <v>21.842679</v>
      </c>
      <c r="AK23" s="5">
        <v>21.872581000000004</v>
      </c>
      <c r="AL23" s="5">
        <v>21.905475000000003</v>
      </c>
      <c r="AM23" s="5">
        <v>21.942047000000002</v>
      </c>
      <c r="AN23" s="5">
        <v>21.982765000000004</v>
      </c>
      <c r="AO23" s="5">
        <v>22.027978999999998</v>
      </c>
      <c r="AP23" s="5">
        <v>22.077630999999993</v>
      </c>
      <c r="AQ23" s="5">
        <v>22.131490000000003</v>
      </c>
      <c r="AR23" s="5">
        <v>22.189198000000001</v>
      </c>
      <c r="AS23" s="5">
        <v>22.25037</v>
      </c>
      <c r="AT23" s="5">
        <v>22.314627999999999</v>
      </c>
      <c r="AU23" s="5">
        <v>22.381685000000008</v>
      </c>
      <c r="AV23" s="5">
        <v>22.451094999999999</v>
      </c>
      <c r="AW23" s="6">
        <v>22.522445000000001</v>
      </c>
    </row>
    <row r="24" spans="1:49" x14ac:dyDescent="0.25">
      <c r="A24" s="13" t="s">
        <v>2</v>
      </c>
      <c r="B24" s="14" t="s">
        <v>14</v>
      </c>
      <c r="C24" s="3">
        <v>21.921122</v>
      </c>
      <c r="D24" s="3">
        <v>22.146789999999996</v>
      </c>
      <c r="E24" s="3">
        <v>22.276386999999996</v>
      </c>
      <c r="F24" s="3">
        <v>22.389680000000002</v>
      </c>
      <c r="G24" s="3">
        <v>22.501693000000003</v>
      </c>
      <c r="H24" s="3">
        <v>22.566389000000004</v>
      </c>
      <c r="I24" s="3">
        <v>22.544768000000005</v>
      </c>
      <c r="J24" s="3">
        <v>22.517653999999993</v>
      </c>
      <c r="K24" s="3">
        <v>22.423027999999995</v>
      </c>
      <c r="L24" s="3">
        <v>22.320949999999989</v>
      </c>
      <c r="M24" s="3">
        <v>22.278131999999999</v>
      </c>
      <c r="N24" s="3">
        <v>22.266164000000003</v>
      </c>
      <c r="O24" s="3">
        <v>22.279543</v>
      </c>
      <c r="P24" s="3">
        <v>22.331452999999996</v>
      </c>
      <c r="Q24" s="3">
        <v>22.405418999999998</v>
      </c>
      <c r="R24" s="3">
        <v>22.474337999999999</v>
      </c>
      <c r="S24" s="3">
        <v>22.479779999999991</v>
      </c>
      <c r="T24" s="3">
        <v>22.449955999999993</v>
      </c>
      <c r="U24" s="3">
        <v>22.443944000000002</v>
      </c>
      <c r="V24" s="3">
        <v>22.472671999999996</v>
      </c>
      <c r="W24" s="3">
        <v>22.486877000000003</v>
      </c>
      <c r="X24" s="3">
        <v>22.496969000000004</v>
      </c>
      <c r="Y24" s="3">
        <v>22.521522999999998</v>
      </c>
      <c r="Z24" s="3">
        <v>22.549437000000008</v>
      </c>
      <c r="AA24" s="3">
        <v>22.568562</v>
      </c>
      <c r="AB24" s="3">
        <v>22.602916000000004</v>
      </c>
      <c r="AC24" s="3">
        <v>22.705075000000001</v>
      </c>
      <c r="AD24" s="3">
        <v>22.813275000000004</v>
      </c>
      <c r="AE24" s="3">
        <v>22.927240999999995</v>
      </c>
      <c r="AF24" s="3">
        <v>23.054293000000001</v>
      </c>
      <c r="AG24" s="3">
        <v>23.187162000000004</v>
      </c>
      <c r="AH24" s="3">
        <v>23.308848999999999</v>
      </c>
      <c r="AI24" s="3">
        <v>23.419715000000004</v>
      </c>
      <c r="AJ24" s="3">
        <v>23.519356999999996</v>
      </c>
      <c r="AK24" s="3">
        <v>23.607154999999999</v>
      </c>
      <c r="AL24" s="3">
        <v>23.683253000000001</v>
      </c>
      <c r="AM24" s="3">
        <v>23.748131000000004</v>
      </c>
      <c r="AN24" s="3">
        <v>23.803198999999999</v>
      </c>
      <c r="AO24" s="3">
        <v>23.850510999999997</v>
      </c>
      <c r="AP24" s="3">
        <v>23.892224000000006</v>
      </c>
      <c r="AQ24" s="3">
        <v>23.930139999999998</v>
      </c>
      <c r="AR24" s="3">
        <v>23.965890000000005</v>
      </c>
      <c r="AS24" s="3">
        <v>24.00074200000001</v>
      </c>
      <c r="AT24" s="3">
        <v>24.035913999999995</v>
      </c>
      <c r="AU24" s="3">
        <v>24.072557</v>
      </c>
      <c r="AV24" s="3">
        <v>24.111885999999998</v>
      </c>
      <c r="AW24" s="4">
        <v>24.154522999999994</v>
      </c>
    </row>
    <row r="25" spans="1:49" x14ac:dyDescent="0.25">
      <c r="A25" s="15" t="s">
        <v>3</v>
      </c>
      <c r="B25" s="16" t="s">
        <v>14</v>
      </c>
      <c r="C25" s="5">
        <v>20.480505999999995</v>
      </c>
      <c r="D25" s="5">
        <v>20.732206000000001</v>
      </c>
      <c r="E25" s="5">
        <v>20.999692999999997</v>
      </c>
      <c r="F25" s="5">
        <v>21.310418000000002</v>
      </c>
      <c r="G25" s="5">
        <v>21.561263000000004</v>
      </c>
      <c r="H25" s="5">
        <v>21.844311000000005</v>
      </c>
      <c r="I25" s="5">
        <v>22.149568999999993</v>
      </c>
      <c r="J25" s="5">
        <v>22.433198999999995</v>
      </c>
      <c r="K25" s="5">
        <v>22.76276600000001</v>
      </c>
      <c r="L25" s="5">
        <v>23.033076999999995</v>
      </c>
      <c r="M25" s="5">
        <v>23.255274</v>
      </c>
      <c r="N25" s="5">
        <v>23.493592000000007</v>
      </c>
      <c r="O25" s="5">
        <v>23.637188000000013</v>
      </c>
      <c r="P25" s="5">
        <v>23.764337999999999</v>
      </c>
      <c r="Q25" s="5">
        <v>23.890378000000002</v>
      </c>
      <c r="R25" s="5">
        <v>23.970122000000003</v>
      </c>
      <c r="S25" s="5">
        <v>23.993738999999994</v>
      </c>
      <c r="T25" s="5">
        <v>23.951967999999997</v>
      </c>
      <c r="U25" s="5">
        <v>23.872299999999989</v>
      </c>
      <c r="V25" s="5">
        <v>23.784982999999997</v>
      </c>
      <c r="W25" s="5">
        <v>23.756108000000005</v>
      </c>
      <c r="X25" s="5">
        <v>23.758105</v>
      </c>
      <c r="Y25" s="5">
        <v>23.784952999999994</v>
      </c>
      <c r="Z25" s="5">
        <v>23.850034999999998</v>
      </c>
      <c r="AA25" s="5">
        <v>23.936806000000008</v>
      </c>
      <c r="AB25" s="5">
        <v>24.018146999999988</v>
      </c>
      <c r="AC25" s="5">
        <v>24.036135999999996</v>
      </c>
      <c r="AD25" s="5">
        <v>24.018692999999995</v>
      </c>
      <c r="AE25" s="5">
        <v>24.024514000000007</v>
      </c>
      <c r="AF25" s="5">
        <v>24.064411</v>
      </c>
      <c r="AG25" s="5">
        <v>24.089523999999997</v>
      </c>
      <c r="AH25" s="5">
        <v>24.110263</v>
      </c>
      <c r="AI25" s="5">
        <v>24.145149000000004</v>
      </c>
      <c r="AJ25" s="5">
        <v>24.182990999999998</v>
      </c>
      <c r="AK25" s="5">
        <v>24.211798999999999</v>
      </c>
      <c r="AL25" s="5">
        <v>24.255618999999999</v>
      </c>
      <c r="AM25" s="5">
        <v>24.366551999999995</v>
      </c>
      <c r="AN25" s="5">
        <v>24.483267000000005</v>
      </c>
      <c r="AO25" s="5">
        <v>24.605441000000003</v>
      </c>
      <c r="AP25" s="5">
        <v>24.740343999999993</v>
      </c>
      <c r="AQ25" s="5">
        <v>24.880725000000002</v>
      </c>
      <c r="AR25" s="5">
        <v>25.009583999999997</v>
      </c>
      <c r="AS25" s="5">
        <v>25.127338000000002</v>
      </c>
      <c r="AT25" s="5">
        <v>25.233542</v>
      </c>
      <c r="AU25" s="5">
        <v>25.327693</v>
      </c>
      <c r="AV25" s="5">
        <v>25.409811000000001</v>
      </c>
      <c r="AW25" s="6">
        <v>25.480445000000003</v>
      </c>
    </row>
    <row r="26" spans="1:49" x14ac:dyDescent="0.25">
      <c r="A26" s="13" t="s">
        <v>4</v>
      </c>
      <c r="B26" s="14" t="s">
        <v>14</v>
      </c>
      <c r="C26" s="3">
        <v>21.206810999999995</v>
      </c>
      <c r="D26" s="3">
        <v>20.875575999999999</v>
      </c>
      <c r="E26" s="3">
        <v>20.657714000000002</v>
      </c>
      <c r="F26" s="3">
        <v>20.519329999999989</v>
      </c>
      <c r="G26" s="3">
        <v>20.485210000000002</v>
      </c>
      <c r="H26" s="3">
        <v>20.482278999999998</v>
      </c>
      <c r="I26" s="3">
        <v>20.483636999999995</v>
      </c>
      <c r="J26" s="3">
        <v>20.506291999999998</v>
      </c>
      <c r="K26" s="3">
        <v>20.521793999999996</v>
      </c>
      <c r="L26" s="3">
        <v>20.682799999999993</v>
      </c>
      <c r="M26" s="3">
        <v>20.933559999999993</v>
      </c>
      <c r="N26" s="3">
        <v>21.19179900000001</v>
      </c>
      <c r="O26" s="3">
        <v>21.466012999999997</v>
      </c>
      <c r="P26" s="3">
        <v>21.782504999999993</v>
      </c>
      <c r="Q26" s="3">
        <v>22.040162999999996</v>
      </c>
      <c r="R26" s="3">
        <v>22.33</v>
      </c>
      <c r="S26" s="3">
        <v>22.642231000000006</v>
      </c>
      <c r="T26" s="3">
        <v>22.934981999999998</v>
      </c>
      <c r="U26" s="3">
        <v>23.272479000000008</v>
      </c>
      <c r="V26" s="3">
        <v>23.551077000000003</v>
      </c>
      <c r="W26" s="3">
        <v>23.781709999999997</v>
      </c>
      <c r="X26" s="3">
        <v>24.027176999999991</v>
      </c>
      <c r="Y26" s="3">
        <v>24.178927000000009</v>
      </c>
      <c r="Z26" s="3">
        <v>24.313811000000001</v>
      </c>
      <c r="AA26" s="3">
        <v>24.447196000000005</v>
      </c>
      <c r="AB26" s="3">
        <v>24.534859999999998</v>
      </c>
      <c r="AC26" s="3">
        <v>24.566928999999995</v>
      </c>
      <c r="AD26" s="3">
        <v>24.534708000000002</v>
      </c>
      <c r="AE26" s="3">
        <v>24.464762</v>
      </c>
      <c r="AF26" s="3">
        <v>24.387176000000004</v>
      </c>
      <c r="AG26" s="3">
        <v>24.367115999999999</v>
      </c>
      <c r="AH26" s="3">
        <v>24.378039999999995</v>
      </c>
      <c r="AI26" s="3">
        <v>24.413077999999992</v>
      </c>
      <c r="AJ26" s="3">
        <v>24.485853999999993</v>
      </c>
      <c r="AK26" s="3">
        <v>24.579977</v>
      </c>
      <c r="AL26" s="3">
        <v>24.668411000000006</v>
      </c>
      <c r="AM26" s="3">
        <v>24.693684999999999</v>
      </c>
      <c r="AN26" s="3">
        <v>24.683603999999999</v>
      </c>
      <c r="AO26" s="3">
        <v>24.696209</v>
      </c>
      <c r="AP26" s="3">
        <v>24.741834000000008</v>
      </c>
      <c r="AQ26" s="3">
        <v>24.772517000000001</v>
      </c>
      <c r="AR26" s="3">
        <v>24.798665000000007</v>
      </c>
      <c r="AS26" s="3">
        <v>24.838713000000002</v>
      </c>
      <c r="AT26" s="3">
        <v>24.881445000000003</v>
      </c>
      <c r="AU26" s="3">
        <v>24.915164999999995</v>
      </c>
      <c r="AV26" s="3">
        <v>24.963686000000003</v>
      </c>
      <c r="AW26" s="4">
        <v>25.078420999999995</v>
      </c>
    </row>
    <row r="27" spans="1:49" x14ac:dyDescent="0.25">
      <c r="A27" s="15" t="s">
        <v>5</v>
      </c>
      <c r="B27" s="16" t="s">
        <v>14</v>
      </c>
      <c r="C27" s="5">
        <v>22.339004000000003</v>
      </c>
      <c r="D27" s="5">
        <v>22.483276999999998</v>
      </c>
      <c r="E27" s="5">
        <v>22.507912999999999</v>
      </c>
      <c r="F27" s="5">
        <v>22.397635000000001</v>
      </c>
      <c r="G27" s="5">
        <v>22.187070000000009</v>
      </c>
      <c r="H27" s="5">
        <v>21.959198000000001</v>
      </c>
      <c r="I27" s="5">
        <v>21.772903000000003</v>
      </c>
      <c r="J27" s="5">
        <v>21.636620000000008</v>
      </c>
      <c r="K27" s="5">
        <v>21.504952000000003</v>
      </c>
      <c r="L27" s="5">
        <v>21.296748999999998</v>
      </c>
      <c r="M27" s="5">
        <v>21.011151999999999</v>
      </c>
      <c r="N27" s="5">
        <v>20.702570000000005</v>
      </c>
      <c r="O27" s="5">
        <v>20.504359000000001</v>
      </c>
      <c r="P27" s="5">
        <v>20.381390000000003</v>
      </c>
      <c r="Q27" s="5">
        <v>20.359872999999997</v>
      </c>
      <c r="R27" s="5">
        <v>20.369293000000003</v>
      </c>
      <c r="S27" s="5">
        <v>20.383427999999995</v>
      </c>
      <c r="T27" s="5">
        <v>20.421654999999998</v>
      </c>
      <c r="U27" s="5">
        <v>20.452501000000005</v>
      </c>
      <c r="V27" s="5">
        <v>20.623843000000001</v>
      </c>
      <c r="W27" s="5">
        <v>20.881979000000005</v>
      </c>
      <c r="X27" s="5">
        <v>21.146303</v>
      </c>
      <c r="Y27" s="5">
        <v>21.427075000000002</v>
      </c>
      <c r="Z27" s="5">
        <v>21.747962000000001</v>
      </c>
      <c r="AA27" s="5">
        <v>22.01165099999999</v>
      </c>
      <c r="AB27" s="5">
        <v>22.307068000000005</v>
      </c>
      <c r="AC27" s="5">
        <v>22.624716999999997</v>
      </c>
      <c r="AD27" s="5">
        <v>22.925439000000004</v>
      </c>
      <c r="AE27" s="5">
        <v>23.269176999999999</v>
      </c>
      <c r="AF27" s="5">
        <v>23.554883999999998</v>
      </c>
      <c r="AG27" s="5">
        <v>23.793067999999995</v>
      </c>
      <c r="AH27" s="5">
        <v>24.044600999999997</v>
      </c>
      <c r="AI27" s="5">
        <v>24.204311999999994</v>
      </c>
      <c r="AJ27" s="5">
        <v>24.346694999999997</v>
      </c>
      <c r="AK27" s="5">
        <v>24.487279000000012</v>
      </c>
      <c r="AL27" s="5">
        <v>24.583210999999995</v>
      </c>
      <c r="AM27" s="5">
        <v>24.624781999999989</v>
      </c>
      <c r="AN27" s="5">
        <v>24.603915000000001</v>
      </c>
      <c r="AO27" s="5">
        <v>24.545875000000002</v>
      </c>
      <c r="AP27" s="5">
        <v>24.479912000000002</v>
      </c>
      <c r="AQ27" s="5">
        <v>24.470008000000004</v>
      </c>
      <c r="AR27" s="5">
        <v>24.490753000000002</v>
      </c>
      <c r="AS27" s="5">
        <v>24.534633000000003</v>
      </c>
      <c r="AT27" s="5">
        <v>24.615394000000009</v>
      </c>
      <c r="AU27" s="5">
        <v>24.716966000000003</v>
      </c>
      <c r="AV27" s="5">
        <v>24.812573999999998</v>
      </c>
      <c r="AW27" s="6">
        <v>24.845534000000004</v>
      </c>
    </row>
    <row r="28" spans="1:49" x14ac:dyDescent="0.25">
      <c r="A28" s="13" t="s">
        <v>6</v>
      </c>
      <c r="B28" s="14" t="s">
        <v>14</v>
      </c>
      <c r="C28" s="3">
        <v>17.014035</v>
      </c>
      <c r="D28" s="3">
        <v>17.634257000000005</v>
      </c>
      <c r="E28" s="3">
        <v>18.306298000000002</v>
      </c>
      <c r="F28" s="3">
        <v>18.981551999999997</v>
      </c>
      <c r="G28" s="3">
        <v>19.278079999999999</v>
      </c>
      <c r="H28" s="3">
        <v>19.669760000000004</v>
      </c>
      <c r="I28" s="3">
        <v>20.059601000000004</v>
      </c>
      <c r="J28" s="3">
        <v>20.474102000000006</v>
      </c>
      <c r="K28" s="3">
        <v>20.836037000000001</v>
      </c>
      <c r="L28" s="3">
        <v>21.120494000000004</v>
      </c>
      <c r="M28" s="3">
        <v>21.341417000000003</v>
      </c>
      <c r="N28" s="3">
        <v>21.496621000000001</v>
      </c>
      <c r="O28" s="3">
        <v>21.539606000000006</v>
      </c>
      <c r="P28" s="3">
        <v>21.453211000000003</v>
      </c>
      <c r="Q28" s="3">
        <v>21.273440000000008</v>
      </c>
      <c r="R28" s="3">
        <v>21.076637000000009</v>
      </c>
      <c r="S28" s="3">
        <v>20.920786</v>
      </c>
      <c r="T28" s="3">
        <v>20.816830999999997</v>
      </c>
      <c r="U28" s="3">
        <v>20.716278999999993</v>
      </c>
      <c r="V28" s="3">
        <v>20.540384000000003</v>
      </c>
      <c r="W28" s="3">
        <v>20.289934000000002</v>
      </c>
      <c r="X28" s="3">
        <v>20.017864999999997</v>
      </c>
      <c r="Y28" s="3">
        <v>19.851038000000003</v>
      </c>
      <c r="Z28" s="3">
        <v>19.751859</v>
      </c>
      <c r="AA28" s="3">
        <v>19.749075000000001</v>
      </c>
      <c r="AB28" s="3">
        <v>19.776114999999997</v>
      </c>
      <c r="AC28" s="3">
        <v>19.808920999999998</v>
      </c>
      <c r="AD28" s="3">
        <v>19.869405</v>
      </c>
      <c r="AE28" s="3">
        <v>19.922704000000007</v>
      </c>
      <c r="AF28" s="3">
        <v>20.107970000000005</v>
      </c>
      <c r="AG28" s="3">
        <v>20.374423000000007</v>
      </c>
      <c r="AH28" s="3">
        <v>20.644953999999998</v>
      </c>
      <c r="AI28" s="3">
        <v>20.932733000000002</v>
      </c>
      <c r="AJ28" s="3">
        <v>21.256522999999998</v>
      </c>
      <c r="AK28" s="3">
        <v>21.525833999999996</v>
      </c>
      <c r="AL28" s="3">
        <v>21.825806</v>
      </c>
      <c r="AM28" s="3">
        <v>22.147763000000001</v>
      </c>
      <c r="AN28" s="3">
        <v>22.457152000000001</v>
      </c>
      <c r="AO28" s="3">
        <v>22.806405000000005</v>
      </c>
      <c r="AP28" s="3">
        <v>23.09908999999999</v>
      </c>
      <c r="AQ28" s="3">
        <v>23.344825999999994</v>
      </c>
      <c r="AR28" s="3">
        <v>23.601525999999993</v>
      </c>
      <c r="AS28" s="3">
        <v>23.770094000000007</v>
      </c>
      <c r="AT28" s="3">
        <v>23.920693000000004</v>
      </c>
      <c r="AU28" s="3">
        <v>24.068919000000001</v>
      </c>
      <c r="AV28" s="3">
        <v>24.174427999999995</v>
      </c>
      <c r="AW28" s="4">
        <v>24.228201999999992</v>
      </c>
    </row>
    <row r="29" spans="1:49" x14ac:dyDescent="0.25">
      <c r="A29" s="15" t="s">
        <v>7</v>
      </c>
      <c r="B29" s="16" t="s">
        <v>14</v>
      </c>
      <c r="C29" s="5">
        <v>9.7854149999999986</v>
      </c>
      <c r="D29" s="5">
        <v>10.148205000000003</v>
      </c>
      <c r="E29" s="5">
        <v>10.468546000000002</v>
      </c>
      <c r="F29" s="5">
        <v>10.781662999999998</v>
      </c>
      <c r="G29" s="5">
        <v>11.517862999999997</v>
      </c>
      <c r="H29" s="5">
        <v>12.118412000000001</v>
      </c>
      <c r="I29" s="5">
        <v>12.700003999999998</v>
      </c>
      <c r="J29" s="5">
        <v>13.271010999999998</v>
      </c>
      <c r="K29" s="5">
        <v>13.832167999999999</v>
      </c>
      <c r="L29" s="5">
        <v>14.360885999999999</v>
      </c>
      <c r="M29" s="5">
        <v>14.822822</v>
      </c>
      <c r="N29" s="5">
        <v>15.375604999999998</v>
      </c>
      <c r="O29" s="5">
        <v>15.969990999999997</v>
      </c>
      <c r="P29" s="5">
        <v>16.559247999999997</v>
      </c>
      <c r="Q29" s="5">
        <v>16.855364000000002</v>
      </c>
      <c r="R29" s="5">
        <v>17.224655999999996</v>
      </c>
      <c r="S29" s="5">
        <v>17.588357999999999</v>
      </c>
      <c r="T29" s="5">
        <v>17.975068999999998</v>
      </c>
      <c r="U29" s="5">
        <v>18.313865000000003</v>
      </c>
      <c r="V29" s="5">
        <v>18.582127</v>
      </c>
      <c r="W29" s="5">
        <v>18.796056999999998</v>
      </c>
      <c r="X29" s="5">
        <v>18.954238000000004</v>
      </c>
      <c r="Y29" s="5">
        <v>19.015167999999999</v>
      </c>
      <c r="Z29" s="5">
        <v>18.957175999999997</v>
      </c>
      <c r="AA29" s="5">
        <v>18.820575000000002</v>
      </c>
      <c r="AB29" s="5">
        <v>18.669708</v>
      </c>
      <c r="AC29" s="5">
        <v>18.558965999999998</v>
      </c>
      <c r="AD29" s="5">
        <v>18.504405999999999</v>
      </c>
      <c r="AE29" s="5">
        <v>18.452148999999999</v>
      </c>
      <c r="AF29" s="5">
        <v>18.327400999999998</v>
      </c>
      <c r="AG29" s="5">
        <v>18.134679000000006</v>
      </c>
      <c r="AH29" s="5">
        <v>17.924166</v>
      </c>
      <c r="AI29" s="5">
        <v>17.808824999999999</v>
      </c>
      <c r="AJ29" s="5">
        <v>17.744627000000001</v>
      </c>
      <c r="AK29" s="5">
        <v>17.766690000000001</v>
      </c>
      <c r="AL29" s="5">
        <v>17.815598000000001</v>
      </c>
      <c r="AM29" s="5">
        <v>17.873839999999994</v>
      </c>
      <c r="AN29" s="5">
        <v>17.969524</v>
      </c>
      <c r="AO29" s="5">
        <v>18.057894000000005</v>
      </c>
      <c r="AP29" s="5">
        <v>18.258763999999999</v>
      </c>
      <c r="AQ29" s="5">
        <v>18.526678999999998</v>
      </c>
      <c r="AR29" s="5">
        <v>18.792878000000002</v>
      </c>
      <c r="AS29" s="5">
        <v>19.078866000000005</v>
      </c>
      <c r="AT29" s="5">
        <v>19.39114</v>
      </c>
      <c r="AU29" s="5">
        <v>19.655450000000002</v>
      </c>
      <c r="AV29" s="5">
        <v>19.947974999999996</v>
      </c>
      <c r="AW29" s="6">
        <v>20.262739</v>
      </c>
    </row>
    <row r="30" spans="1:49" x14ac:dyDescent="0.25">
      <c r="A30" s="13" t="s">
        <v>8</v>
      </c>
      <c r="B30" s="14" t="s">
        <v>14</v>
      </c>
      <c r="C30" s="3">
        <v>5.4121509999999979</v>
      </c>
      <c r="D30" s="3">
        <v>5.3918160000000004</v>
      </c>
      <c r="E30" s="3">
        <v>5.4174560000000014</v>
      </c>
      <c r="F30" s="3">
        <v>5.4494500000000023</v>
      </c>
      <c r="G30" s="3">
        <v>5.4865940000000002</v>
      </c>
      <c r="H30" s="3">
        <v>5.5622540000000003</v>
      </c>
      <c r="I30" s="3">
        <v>5.6527349999999998</v>
      </c>
      <c r="J30" s="3">
        <v>5.7642869999999995</v>
      </c>
      <c r="K30" s="3">
        <v>5.9097609999999978</v>
      </c>
      <c r="L30" s="3">
        <v>6.1125249999999998</v>
      </c>
      <c r="M30" s="3">
        <v>6.423830999999999</v>
      </c>
      <c r="N30" s="3">
        <v>6.6859760000000019</v>
      </c>
      <c r="O30" s="3">
        <v>6.9221490000000028</v>
      </c>
      <c r="P30" s="3">
        <v>7.1452579999999974</v>
      </c>
      <c r="Q30" s="3">
        <v>7.6900619999999993</v>
      </c>
      <c r="R30" s="3">
        <v>8.1261730000000014</v>
      </c>
      <c r="S30" s="3">
        <v>8.5371759999999988</v>
      </c>
      <c r="T30" s="3">
        <v>8.9365530000000017</v>
      </c>
      <c r="U30" s="3">
        <v>9.3242060000000002</v>
      </c>
      <c r="V30" s="3">
        <v>9.6927170000000018</v>
      </c>
      <c r="W30" s="3">
        <v>10.033127000000002</v>
      </c>
      <c r="X30" s="3">
        <v>10.421214999999997</v>
      </c>
      <c r="Y30" s="3">
        <v>10.832235999999998</v>
      </c>
      <c r="Z30" s="3">
        <v>11.225903999999998</v>
      </c>
      <c r="AA30" s="3">
        <v>11.482310999999999</v>
      </c>
      <c r="AB30" s="3">
        <v>11.770334999999999</v>
      </c>
      <c r="AC30" s="3">
        <v>12.046611999999998</v>
      </c>
      <c r="AD30" s="3">
        <v>12.341614</v>
      </c>
      <c r="AE30" s="3">
        <v>12.598365000000003</v>
      </c>
      <c r="AF30" s="3">
        <v>12.801122000000003</v>
      </c>
      <c r="AG30" s="3">
        <v>12.969147000000003</v>
      </c>
      <c r="AH30" s="3">
        <v>13.102641000000004</v>
      </c>
      <c r="AI30" s="3">
        <v>13.169275999999996</v>
      </c>
      <c r="AJ30" s="3">
        <v>13.140645000000001</v>
      </c>
      <c r="AK30" s="3">
        <v>13.064208999999998</v>
      </c>
      <c r="AL30" s="3">
        <v>12.981297999999999</v>
      </c>
      <c r="AM30" s="3">
        <v>12.935987000000003</v>
      </c>
      <c r="AN30" s="3">
        <v>12.953042000000003</v>
      </c>
      <c r="AO30" s="3">
        <v>12.970923000000003</v>
      </c>
      <c r="AP30" s="3">
        <v>12.924022000000001</v>
      </c>
      <c r="AQ30" s="3">
        <v>12.824291000000002</v>
      </c>
      <c r="AR30" s="3">
        <v>12.714251999999995</v>
      </c>
      <c r="AS30" s="3">
        <v>12.676856999999996</v>
      </c>
      <c r="AT30" s="3">
        <v>12.658283999999995</v>
      </c>
      <c r="AU30" s="3">
        <v>12.705264999999999</v>
      </c>
      <c r="AV30" s="3">
        <v>12.773144999999998</v>
      </c>
      <c r="AW30" s="4">
        <v>12.858271000000004</v>
      </c>
    </row>
    <row r="31" spans="1:49" x14ac:dyDescent="0.25">
      <c r="A31" s="17" t="s">
        <v>9</v>
      </c>
      <c r="B31" s="18" t="s">
        <v>14</v>
      </c>
      <c r="C31" s="1">
        <v>1.2983350000000002</v>
      </c>
      <c r="D31" s="1">
        <v>1.3478829999999999</v>
      </c>
      <c r="E31" s="1">
        <v>1.3938269999999995</v>
      </c>
      <c r="F31" s="1">
        <v>1.4292270000000002</v>
      </c>
      <c r="G31" s="1">
        <v>1.4637449999999999</v>
      </c>
      <c r="H31" s="1">
        <v>1.494119</v>
      </c>
      <c r="I31" s="1">
        <v>1.5153250000000003</v>
      </c>
      <c r="J31" s="1">
        <v>1.5438479999999994</v>
      </c>
      <c r="K31" s="1">
        <v>1.5619540000000001</v>
      </c>
      <c r="L31" s="1">
        <v>1.575739</v>
      </c>
      <c r="M31" s="1">
        <v>1.587154</v>
      </c>
      <c r="N31" s="1">
        <v>1.5943150000000004</v>
      </c>
      <c r="O31" s="1">
        <v>1.6235849999999998</v>
      </c>
      <c r="P31" s="1">
        <v>1.6520969999999999</v>
      </c>
      <c r="Q31" s="1">
        <v>1.6833269999999998</v>
      </c>
      <c r="R31" s="1">
        <v>1.7302420000000003</v>
      </c>
      <c r="S31" s="1">
        <v>1.7785570000000002</v>
      </c>
      <c r="T31" s="1">
        <v>1.8381269999999992</v>
      </c>
      <c r="U31" s="1">
        <v>1.9059850000000003</v>
      </c>
      <c r="V31" s="1">
        <v>1.9950200000000002</v>
      </c>
      <c r="W31" s="1">
        <v>2.1284920000000001</v>
      </c>
      <c r="X31" s="1">
        <v>2.229102000000001</v>
      </c>
      <c r="Y31" s="1">
        <v>2.3228720000000003</v>
      </c>
      <c r="Z31" s="1">
        <v>2.4060579999999994</v>
      </c>
      <c r="AA31" s="1">
        <v>2.6402360000000002</v>
      </c>
      <c r="AB31" s="1">
        <v>2.8170709999999994</v>
      </c>
      <c r="AC31" s="1">
        <v>2.9742910000000014</v>
      </c>
      <c r="AD31" s="1">
        <v>3.1254160000000004</v>
      </c>
      <c r="AE31" s="1">
        <v>3.2704339999999998</v>
      </c>
      <c r="AF31" s="1">
        <v>3.413247000000001</v>
      </c>
      <c r="AG31" s="1">
        <v>3.5619909999999999</v>
      </c>
      <c r="AH31" s="1">
        <v>3.7170519999999998</v>
      </c>
      <c r="AI31" s="1">
        <v>3.8792080000000002</v>
      </c>
      <c r="AJ31" s="1">
        <v>4.0261259999999996</v>
      </c>
      <c r="AK31" s="1">
        <v>4.1803920000000012</v>
      </c>
      <c r="AL31" s="1">
        <v>4.322514</v>
      </c>
      <c r="AM31" s="1">
        <v>4.4510640000000006</v>
      </c>
      <c r="AN31" s="1">
        <v>4.5897089999999992</v>
      </c>
      <c r="AO31" s="1">
        <v>4.709301</v>
      </c>
      <c r="AP31" s="1">
        <v>4.8047870000000001</v>
      </c>
      <c r="AQ31" s="1">
        <v>4.8914779999999993</v>
      </c>
      <c r="AR31" s="1">
        <v>4.9699810000000006</v>
      </c>
      <c r="AS31" s="1">
        <v>5.0240660000000004</v>
      </c>
      <c r="AT31" s="1">
        <v>5.0288660000000007</v>
      </c>
      <c r="AU31" s="1">
        <v>5.0241669999999985</v>
      </c>
      <c r="AV31" s="1">
        <v>5.0213179999999999</v>
      </c>
      <c r="AW31" s="2">
        <v>5.0429940000000002</v>
      </c>
    </row>
  </sheetData>
  <phoneticPr fontId="1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Using In-Cell Method</vt:lpstr>
      <vt:lpstr>Using Conditional Formatting</vt:lpstr>
      <vt:lpstr>Using Bar Chart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ExcelChamps.com</dc:creator>
  <cp:lastModifiedBy>蘇孟緯</cp:lastModifiedBy>
  <dcterms:created xsi:type="dcterms:W3CDTF">2016-03-28T02:13:33Z</dcterms:created>
  <dcterms:modified xsi:type="dcterms:W3CDTF">2019-03-15T05:58:52Z</dcterms:modified>
</cp:coreProperties>
</file>