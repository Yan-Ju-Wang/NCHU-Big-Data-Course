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calcChain.xml" ContentType="application/vnd.openxmlformats-officedocument.spreadsheetml.calcChain+xml"/>
  <Override PartName="/xl/worksheets/sheet31.xml" ContentType="application/vnd.openxmlformats-officedocument.spreadsheetml.worksheet+xml"/>
  <Override PartName="/xl/tables/table31.xml" ContentType="application/vnd.openxmlformats-officedocument.spreadsheetml.table+xml"/>
  <Override PartName="/xl/sharedStrings.xml" ContentType="application/vnd.openxmlformats-officedocument.spreadsheetml.sharedStrings+xml"/>
  <Override PartName="/xl/worksheets/sheet22.xml" ContentType="application/vnd.openxmlformats-officedocument.spreadsheetml.worksheet+xml"/>
  <Override PartName="/xl/tables/table2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44.xml" ContentType="application/vnd.openxmlformats-officedocument.spreadsheetml.worksheet+xml"/>
  <Override PartName="/xl/tables/table44.xml" ContentType="application/vnd.openxmlformats-officedocument.spreadsheetml.table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6"/>
  <workbookPr codeName="ThisWorkbook"/>
  <mc:AlternateContent xmlns:mc="http://schemas.openxmlformats.org/markup-compatibility/2006">
    <mc:Choice Requires="x15">
      <x15ac:absPath xmlns:x15ac="http://schemas.microsoft.com/office/spreadsheetml/2010/11/ac" url="\\Deli\projects\Office_Online\technicians\IMartisek\Bugs\bugfixing\puf\zh-TW\target\"/>
    </mc:Choice>
  </mc:AlternateContent>
  <bookViews>
    <workbookView xWindow="0" yWindow="0" windowWidth="22635" windowHeight="9405" tabRatio="694"/>
  </bookViews>
  <sheets>
    <sheet name="旅遊" sheetId="3" r:id="rId1"/>
    <sheet name="住宿" sheetId="7" r:id="rId2"/>
    <sheet name="活動" sheetId="8" r:id="rId3"/>
    <sheet name="預算" sheetId="6" r:id="rId4"/>
  </sheets>
  <definedNames>
    <definedName name="_xlnm.Print_Titles" localSheetId="1">住宿!$4:$4</definedName>
    <definedName name="_xlnm.Print_Titles" localSheetId="2">活動!$4:$4</definedName>
    <definedName name="_xlnm.Print_Titles" localSheetId="0">旅遊!$4:$4</definedName>
    <definedName name="_xlnm.Print_Titles" localSheetId="3">預算!$6:$6</definedName>
    <definedName name="行程名稱">旅遊!$B$1</definedName>
    <definedName name="欄標題1">起飛抵達[[#Headers],[起飛/抵達]]</definedName>
    <definedName name="欄標題2">住宿[[#Headers],[入住]]</definedName>
    <definedName name="欄標題3">起飛抵達[[#Headers],[起飛/抵達]]</definedName>
    <definedName name="欄標題4">預算[[#Headers],[項目]]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6" l="1"/>
  <c r="F7" i="6"/>
  <c r="B1" i="6"/>
  <c r="B1" i="8"/>
  <c r="B1" i="7"/>
  <c r="F9" i="6" l="1"/>
  <c r="C4" i="6" s="1"/>
  <c r="C7" i="3"/>
  <c r="C5" i="3"/>
  <c r="C5" i="8" l="1"/>
  <c r="E5" i="7" l="1"/>
  <c r="B5" i="7"/>
</calcChain>
</file>

<file path=xl/sharedStrings.xml><?xml version="1.0" encoding="utf-8"?>
<sst xmlns="http://schemas.openxmlformats.org/spreadsheetml/2006/main" count="76" uniqueCount="43">
  <si>
    <t>我的行程</t>
  </si>
  <si>
    <t>起飛/抵達</t>
  </si>
  <si>
    <t>起飛</t>
  </si>
  <si>
    <t>抵達</t>
  </si>
  <si>
    <t>日期</t>
  </si>
  <si>
    <t>時間</t>
  </si>
  <si>
    <t>航空公司</t>
  </si>
  <si>
    <t>航班編號</t>
  </si>
  <si>
    <t>編號</t>
  </si>
  <si>
    <t>出發地</t>
  </si>
  <si>
    <t>西雅圖</t>
  </si>
  <si>
    <t>城市</t>
  </si>
  <si>
    <t>洛杉磯</t>
  </si>
  <si>
    <t>目的地</t>
  </si>
  <si>
    <t>舊金山</t>
  </si>
  <si>
    <t>住宿</t>
  </si>
  <si>
    <t>旅館名稱</t>
  </si>
  <si>
    <t>入住</t>
  </si>
  <si>
    <t>地址</t>
  </si>
  <si>
    <t>緬因街 1234 號</t>
  </si>
  <si>
    <t>電話</t>
  </si>
  <si>
    <t>(123) 456-7890</t>
  </si>
  <si>
    <t>退房</t>
  </si>
  <si>
    <t>CJ1234</t>
  </si>
  <si>
    <t>活動</t>
  </si>
  <si>
    <t>清單</t>
  </si>
  <si>
    <t>市區觀光行程</t>
  </si>
  <si>
    <t>活動名稱</t>
  </si>
  <si>
    <t>地點</t>
  </si>
  <si>
    <t>連絡資訊</t>
  </si>
  <si>
    <t>預算</t>
  </si>
  <si>
    <t>預算金額</t>
  </si>
  <si>
    <t>項目</t>
  </si>
  <si>
    <t>類別</t>
  </si>
  <si>
    <t>說明</t>
  </si>
  <si>
    <t>文字</t>
  </si>
  <si>
    <t>費用</t>
  </si>
  <si>
    <t>數量</t>
  </si>
  <si>
    <t>金額</t>
  </si>
  <si>
    <t>合計</t>
  </si>
  <si>
    <t>旅程</t>
  </si>
  <si>
    <t>確認編號</t>
  </si>
  <si>
    <t>已支出預算的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</si>
</sst>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$&quot;#,##0.00"/>
    <numFmt numFmtId="181" formatCode="[$-409]h:mm\ AM/PM;@"/>
    <numFmt numFmtId="182" formatCode="[&lt;=9999999]###\-####;\(###\)\ ###\-####"/>
    <numFmt numFmtId="183" formatCode="[$-F800]dddd\,\ mmmm\ dd\,\ yyyy"/>
    <numFmt numFmtId="184" formatCode="h:mm;@"/>
    <numFmt numFmtId="185" formatCode="&quot;NT$&quot;#,##0.00"/>
    <numFmt numFmtId="186" formatCode="[&lt;=99999999]####\-####;\(0#\)\ ####\-####"/>
  </numFmts>
  <fonts count="14" x14ac:knownFonts="1">
    <font>
      <sz val="11"/>
      <color theme="5" tint="-0.499984740745262"/>
      <name val="Times New Roman"/>
      <family val="2"/>
      <scheme val="minor"/>
    </font>
    <font>
      <b/>
      <sz val="14"/>
      <color theme="2"/>
      <name val="Arial"/>
      <family val="2"/>
      <scheme val="major"/>
    </font>
    <font>
      <sz val="11"/>
      <color theme="5" tint="-0.499984740745262"/>
      <name val="Times New Roman"/>
      <family val="2"/>
      <scheme val="minor"/>
    </font>
    <font>
      <b/>
      <sz val="11"/>
      <color theme="5" tint="-0.499984740745262"/>
      <name val="Arial"/>
      <family val="2"/>
      <scheme val="major"/>
    </font>
    <font>
      <b/>
      <sz val="14"/>
      <color theme="4" tint="-0.499984740745262"/>
      <name val="Arial"/>
      <family val="2"/>
      <scheme val="major"/>
    </font>
    <font>
      <b/>
      <sz val="28"/>
      <color theme="4"/>
      <name val="Times New Roman"/>
      <family val="1"/>
      <scheme val="minor"/>
    </font>
    <font>
      <b/>
      <sz val="11"/>
      <color theme="7" tint="-0.499984740745262"/>
      <name val="Times New Roman"/>
      <family val="2"/>
      <scheme val="minor"/>
    </font>
    <font>
      <sz val="9"/>
      <name val="細明體"/>
      <family val="3"/>
      <charset val="136"/>
      <scheme val="minor"/>
    </font>
    <font>
      <b/>
      <sz val="14"/>
      <color theme="2"/>
      <name val="Microsoft JhengHei UI"/>
      <family val="2"/>
      <charset val="136"/>
    </font>
    <font>
      <b/>
      <sz val="14"/>
      <color theme="2"/>
      <name val="細明體"/>
      <family val="3"/>
      <charset val="136"/>
    </font>
    <font>
      <sz val="11"/>
      <color theme="5" tint="-0.499984740745262"/>
      <name val="細明體"/>
      <family val="3"/>
      <charset val="136"/>
    </font>
    <font>
      <b/>
      <sz val="28"/>
      <color theme="4"/>
      <name val="細明體"/>
      <family val="3"/>
      <charset val="136"/>
    </font>
    <font>
      <b/>
      <sz val="14"/>
      <color theme="4" tint="-0.499984740745262"/>
      <name val="細明體"/>
      <family val="3"/>
      <charset val="136"/>
    </font>
    <font>
      <b/>
      <sz val="11"/>
      <color theme="7" tint="-0.499984740745262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2" tint="-0.749961851863155"/>
        <bgColor indexed="64"/>
      </patternFill>
    </fill>
  </fills>
  <borders count="2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19">
    <xf numFmtId="0" fontId="0" fillId="0" borderId="0">
      <alignment vertical="center"/>
    </xf>
    <xf numFmtId="0" fontId="5" fillId="2" borderId="0" applyNumberFormat="0" applyBorder="0" applyAlignment="0" applyProtection="0"/>
    <xf numFmtId="0" fontId="1" fillId="2" borderId="0" applyNumberFormat="0" applyBorder="0" applyAlignment="0" applyProtection="0"/>
    <xf numFmtId="0" fontId="4" fillId="0" borderId="0" applyNumberFormat="0" applyBorder="0" applyProtection="0">
      <alignment horizontal="left"/>
    </xf>
    <xf numFmtId="0" fontId="3" fillId="0" borderId="0" applyNumberFormat="0" applyFill="0" applyBorder="0" applyProtection="0">
      <alignment horizontal="left" vertical="center"/>
    </xf>
    <xf numFmtId="0" fontId="3" fillId="0" borderId="0" applyNumberFormat="0" applyFill="0" applyBorder="0" applyProtection="0">
      <alignment horizontal="left" vertical="center" wrapText="1"/>
    </xf>
    <xf numFmtId="9" fontId="2" fillId="0" borderId="0" applyFill="0" applyBorder="0" applyAlignment="0" applyProtection="0"/>
    <xf numFmtId="179" fontId="2" fillId="0" borderId="0" applyFill="0" applyBorder="0" applyAlignment="0" applyProtection="0"/>
    <xf numFmtId="177" fontId="2" fillId="0" borderId="0" applyFill="0" applyBorder="0" applyAlignment="0" applyProtection="0"/>
    <xf numFmtId="178" fontId="2" fillId="0" borderId="0" applyFill="0" applyBorder="0" applyAlignment="0" applyProtection="0"/>
    <xf numFmtId="176" fontId="2" fillId="0" borderId="0" applyFill="0" applyBorder="0" applyAlignment="0" applyProtection="0"/>
    <xf numFmtId="14" fontId="2" fillId="0" borderId="0">
      <alignment horizontal="left" vertical="center"/>
    </xf>
    <xf numFmtId="181" fontId="2" fillId="0" borderId="0">
      <alignment horizontal="left" vertical="center"/>
    </xf>
    <xf numFmtId="9" fontId="6" fillId="0" borderId="1">
      <alignment vertical="center"/>
    </xf>
    <xf numFmtId="0" fontId="2" fillId="0" borderId="0">
      <alignment horizontal="right" vertical="center" indent="1"/>
    </xf>
    <xf numFmtId="180" fontId="2" fillId="0" borderId="0">
      <alignment vertical="center"/>
    </xf>
    <xf numFmtId="0" fontId="2" fillId="0" borderId="0">
      <alignment horizontal="left" vertical="center" wrapText="1"/>
    </xf>
    <xf numFmtId="0" fontId="2" fillId="0" borderId="0">
      <alignment horizontal="center" vertical="center" wrapText="1"/>
    </xf>
    <xf numFmtId="182" fontId="2" fillId="0" borderId="0" applyFont="0" applyFill="0" applyBorder="0" applyAlignment="0">
      <alignment horizontal="left" vertical="center" wrapText="1"/>
    </xf>
  </cellStyleXfs>
  <cellXfs count="29">
    <xf numFmtId="0" fontId="0" fillId="0" borderId="0" xfId="0">
      <alignment vertical="center"/>
    </xf>
    <xf numFmtId="0" fontId="8" fillId="2" borderId="0" xfId="2" applyFont="1" applyAlignment="1">
      <alignment vertical="center"/>
    </xf>
    <xf numFmtId="0" fontId="8" fillId="2" borderId="0" xfId="2" applyFont="1" applyAlignment="1">
      <alignment horizontal="left" vertical="center"/>
    </xf>
    <xf numFmtId="0" fontId="9" fillId="2" borderId="0" xfId="2" applyFont="1" applyAlignment="1">
      <alignment vertical="center"/>
    </xf>
    <xf numFmtId="0" fontId="9" fillId="2" borderId="0" xfId="2" applyNumberFormat="1" applyFont="1" applyAlignment="1">
      <alignment vertical="center"/>
    </xf>
    <xf numFmtId="0" fontId="10" fillId="0" borderId="0" xfId="0" applyFont="1" applyFill="1">
      <alignment vertical="center"/>
    </xf>
    <xf numFmtId="0" fontId="11" fillId="2" borderId="0" xfId="1" applyFont="1" applyAlignment="1">
      <alignment horizontal="left"/>
    </xf>
    <xf numFmtId="0" fontId="11" fillId="2" borderId="0" xfId="1" applyFont="1" applyAlignment="1">
      <alignment vertical="center"/>
    </xf>
    <xf numFmtId="0" fontId="11" fillId="2" borderId="0" xfId="1" applyNumberFormat="1" applyFont="1" applyAlignment="1">
      <alignment horizontal="left"/>
    </xf>
    <xf numFmtId="0" fontId="10" fillId="0" borderId="0" xfId="0" applyFont="1">
      <alignment vertical="center"/>
    </xf>
    <xf numFmtId="0" fontId="12" fillId="0" borderId="0" xfId="3" applyFont="1">
      <alignment horizontal="left"/>
    </xf>
    <xf numFmtId="0" fontId="10" fillId="0" borderId="0" xfId="0" applyNumberFormat="1" applyFont="1">
      <alignment vertical="center"/>
    </xf>
    <xf numFmtId="0" fontId="10" fillId="0" borderId="0" xfId="0" applyFont="1" applyAlignment="1">
      <alignment vertical="center"/>
    </xf>
    <xf numFmtId="0" fontId="10" fillId="0" borderId="0" xfId="16" applyFont="1" applyAlignment="1">
      <alignment horizontal="left" vertical="center" wrapText="1"/>
    </xf>
    <xf numFmtId="183" fontId="10" fillId="0" borderId="0" xfId="11" applyNumberFormat="1" applyFont="1" applyAlignment="1">
      <alignment horizontal="left" vertical="center"/>
    </xf>
    <xf numFmtId="184" fontId="10" fillId="0" borderId="0" xfId="12" applyNumberFormat="1" applyFont="1" applyAlignment="1">
      <alignment horizontal="left" vertical="center"/>
    </xf>
    <xf numFmtId="0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2" borderId="0" xfId="1" applyNumberFormat="1" applyFont="1" applyAlignment="1">
      <alignment vertical="center"/>
    </xf>
    <xf numFmtId="0" fontId="10" fillId="0" borderId="0" xfId="14" applyFont="1">
      <alignment horizontal="right" vertical="center" indent="1"/>
    </xf>
    <xf numFmtId="185" fontId="10" fillId="0" borderId="0" xfId="15" applyNumberFormat="1" applyFont="1">
      <alignment vertical="center"/>
    </xf>
    <xf numFmtId="9" fontId="13" fillId="0" borderId="1" xfId="13" applyFont="1">
      <alignment vertical="center"/>
    </xf>
    <xf numFmtId="0" fontId="10" fillId="0" borderId="0" xfId="0" applyFont="1" applyFill="1" applyBorder="1">
      <alignment vertical="center"/>
    </xf>
    <xf numFmtId="185" fontId="10" fillId="0" borderId="0" xfId="15" applyNumberFormat="1" applyFont="1" applyAlignment="1">
      <alignment vertical="center"/>
    </xf>
    <xf numFmtId="0" fontId="10" fillId="0" borderId="0" xfId="17" applyFont="1" applyAlignment="1">
      <alignment horizontal="center" vertical="center" wrapText="1"/>
    </xf>
    <xf numFmtId="0" fontId="10" fillId="0" borderId="0" xfId="0" applyFont="1" applyFill="1" applyBorder="1" applyAlignment="1">
      <alignment vertical="center" wrapText="1"/>
    </xf>
    <xf numFmtId="185" fontId="10" fillId="0" borderId="0" xfId="0" applyNumberFormat="1" applyFont="1" applyFill="1" applyBorder="1" applyAlignment="1">
      <alignment vertical="center" wrapText="1"/>
    </xf>
    <xf numFmtId="0" fontId="11" fillId="2" borderId="0" xfId="1" applyFont="1" applyAlignment="1">
      <alignment horizontal="left" vertical="center"/>
    </xf>
    <xf numFmtId="186" fontId="10" fillId="0" borderId="0" xfId="18" applyNumberFormat="1" applyFont="1" applyAlignment="1">
      <alignment horizontal="left" vertical="center" wrapText="1"/>
    </xf>
  </cellXfs>
  <cellStyles count="19">
    <cellStyle name="一般" xfId="0" builtinId="0" customBuiltin="1"/>
    <cellStyle name="千分位" xfId="7" builtinId="3" customBuiltin="1"/>
    <cellStyle name="千分位[0]" xfId="8" builtinId="6" customBuiltin="1"/>
    <cellStyle name="日期" xfId="11"/>
    <cellStyle name="百分比" xfId="6" builtinId="5" customBuiltin="1"/>
    <cellStyle name="表格詳細資料" xfId="16"/>
    <cellStyle name="金額" xfId="15"/>
    <cellStyle name="時間" xfId="12"/>
    <cellStyle name="貨幣" xfId="9" builtinId="4" customBuiltin="1"/>
    <cellStyle name="貨幣 [0]" xfId="10" builtinId="7" customBuiltin="1"/>
    <cellStyle name="電話" xfId="18"/>
    <cellStyle name="預算支出 %" xfId="13"/>
    <cellStyle name="預算標籤" xfId="14"/>
    <cellStyle name="數量" xfId="17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細明體"/>
        <family val="3"/>
        <charset val="136"/>
        <scheme val="none"/>
      </font>
      <numFmt numFmtId="185" formatCode="&quot;NT$&quot;#,##0.0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5" formatCode="&quot;NT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細明體"/>
        <family val="3"/>
        <charset val="136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5" formatCode="&quot;NT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499984740745262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6" formatCode="[&lt;=99999999]####\-####;\(0#\)\ ####\-####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4" formatCode="h:mm;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3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3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6" formatCode="[&lt;=99999999]####\-####;\(0#\)\ ####\-####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3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4" formatCode="h:mm;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numFmt numFmtId="183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strike val="0"/>
        <outline val="0"/>
        <shadow val="0"/>
        <u val="none"/>
        <vertAlign val="baseline"/>
        <name val="細明體"/>
        <family val="3"/>
        <charset val="136"/>
        <scheme val="none"/>
      </font>
    </dxf>
    <dxf>
      <font>
        <b/>
        <i val="0"/>
        <color theme="5" tint="-0.499984740745262"/>
      </font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 style="medium">
          <color theme="4"/>
        </bottom>
        <vertical/>
        <horizontal/>
      </border>
    </dxf>
    <dxf>
      <font>
        <b/>
        <i val="0"/>
        <color theme="5" tint="-0.499984740745262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ck">
          <color theme="4"/>
        </bottom>
        <vertical style="thin">
          <color theme="5"/>
        </vertical>
        <horizontal/>
      </border>
    </dxf>
    <dxf>
      <font>
        <b val="0"/>
        <i val="0"/>
        <color theme="5" tint="-0.499984740745262"/>
      </font>
      <fill>
        <patternFill patternType="none">
          <bgColor auto="1"/>
        </patternFill>
      </fill>
      <border diagonalUp="0" diagonalDown="0">
        <left/>
        <right/>
        <top/>
        <bottom/>
        <vertical style="thin">
          <color theme="5"/>
        </vertical>
        <horizontal style="thin">
          <color theme="5"/>
        </horizontal>
      </border>
    </dxf>
  </dxfs>
  <tableStyles count="1" defaultTableStyle="假期旅遊規劃工具" defaultPivotStyle="PivotStyleLight16">
    <tableStyle name="假期旅遊規劃工具" pivot="0" count="3">
      <tableStyleElement type="wholeTable" dxfId="39"/>
      <tableStyleElement type="headerRow" dxfId="38"/>
      <tableStyleElement type="total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/xl/calcChain.xml" Id="rId8" /><Relationship Type="http://schemas.openxmlformats.org/officeDocument/2006/relationships/worksheet" Target="/xl/worksheets/sheet31.xml" Id="rId3" /><Relationship Type="http://schemas.openxmlformats.org/officeDocument/2006/relationships/sharedStrings" Target="/xl/sharedStrings.xml" Id="rId7" /><Relationship Type="http://schemas.openxmlformats.org/officeDocument/2006/relationships/worksheet" Target="/xl/worksheets/sheet22.xml" Id="rId2" /><Relationship Type="http://schemas.openxmlformats.org/officeDocument/2006/relationships/worksheet" Target="/xl/worksheets/sheet13.xml" Id="rId1" /><Relationship Type="http://schemas.openxmlformats.org/officeDocument/2006/relationships/styles" Target="/xl/styles.xml" Id="rId6" /><Relationship Type="http://schemas.openxmlformats.org/officeDocument/2006/relationships/theme" Target="/xl/theme/theme11.xml" Id="rId5" /><Relationship Type="http://schemas.openxmlformats.org/officeDocument/2006/relationships/worksheet" Target="/xl/worksheets/sheet44.xml" Id="rId4" /></Relationships>
</file>

<file path=xl/tables/table13.xml><?xml version="1.0" encoding="utf-8"?>
<table xmlns="http://schemas.openxmlformats.org/spreadsheetml/2006/main" id="4" name="起飛抵達" displayName="起飛抵達" ref="B4:H8" totalsRowShown="0" headerRowDxfId="36" dataDxfId="35">
  <autoFilter ref="B4:H8"/>
  <tableColumns count="7">
    <tableColumn id="8" name="起飛/抵達" dataDxfId="34" dataCellStyle="表格詳細資料"/>
    <tableColumn id="1" name="日期" dataDxfId="33" dataCellStyle="日期"/>
    <tableColumn id="2" name="時間" dataDxfId="32" dataCellStyle="時間"/>
    <tableColumn id="3" name="航空公司" dataDxfId="31" dataCellStyle="表格詳細資料"/>
    <tableColumn id="4" name="航班編號" dataDxfId="30" dataCellStyle="表格詳細資料"/>
    <tableColumn id="6" name="出發地" dataDxfId="29" dataCellStyle="表格詳細資料"/>
    <tableColumn id="7" name="目的地" dataDxfId="28" dataCellStyle="表格詳細資料"/>
  </tableColumns>
  <tableStyleInfo name="假期旅遊規劃工具" showFirstColumn="0" showLastColumn="0" showRowStripes="1" showColumnStripes="0"/>
  <extLst>
    <ext xmlns:x14="http://schemas.microsoft.com/office/spreadsheetml/2009/9/main" uri="{504A1905-F514-4f6f-8877-14C23A59335A}">
      <x14:table altTextSummary="起飛和抵達資訊，例如日期、時間、航空公司、航班編號、出發地和目的地。"/>
    </ext>
  </extLst>
</table>
</file>

<file path=xl/tables/table22.xml><?xml version="1.0" encoding="utf-8"?>
<table xmlns="http://schemas.openxmlformats.org/spreadsheetml/2006/main" id="1" name="住宿" displayName="住宿" ref="B4:F6" totalsRowShown="0" headerRowDxfId="27" dataDxfId="26">
  <autoFilter ref="B4:F6"/>
  <tableColumns count="5">
    <tableColumn id="1" name="入住" dataDxfId="25" dataCellStyle="日期"/>
    <tableColumn id="2" name="地址" dataDxfId="24" dataCellStyle="表格詳細資料"/>
    <tableColumn id="3" name="電話" dataDxfId="23" dataCellStyle="電話"/>
    <tableColumn id="4" name="退房" dataDxfId="22" dataCellStyle="日期"/>
    <tableColumn id="6" name="確認編號" dataDxfId="21" dataCellStyle="表格詳細資料"/>
  </tableColumns>
  <tableStyleInfo name="假期旅遊規劃工具" showFirstColumn="0" showLastColumn="0" showRowStripes="1" showColumnStripes="0"/>
  <extLst>
    <ext xmlns:x14="http://schemas.microsoft.com/office/spreadsheetml/2009/9/main" uri="{504A1905-F514-4f6f-8877-14C23A59335A}">
      <x14:table altTextSummary="住宿詳細資訊，例如入住日期、旅館地址、電話、退房日期和確認編號"/>
    </ext>
  </extLst>
</table>
</file>

<file path=xl/tables/table31.xml><?xml version="1.0" encoding="utf-8"?>
<table xmlns="http://schemas.openxmlformats.org/spreadsheetml/2006/main" id="3" name="活動" displayName="活動" ref="B4:F6" totalsRowShown="0" headerRowDxfId="20" dataDxfId="19">
  <autoFilter ref="B4:F6"/>
  <tableColumns count="5">
    <tableColumn id="1" name="活動" dataDxfId="18" dataCellStyle="表格詳細資料"/>
    <tableColumn id="2" name="日期" dataDxfId="17" dataCellStyle="日期"/>
    <tableColumn id="3" name="時間" dataDxfId="16" dataCellStyle="時間"/>
    <tableColumn id="4" name="地點" dataDxfId="15" dataCellStyle="表格詳細資料"/>
    <tableColumn id="6" name="連絡資訊" dataDxfId="14" dataCellStyle="電話"/>
  </tableColumns>
  <tableStyleInfo name="假期旅遊規劃工具" showFirstColumn="0" showLastColumn="0" showRowStripes="1" showColumnStripes="0"/>
  <extLst>
    <ext xmlns:x14="http://schemas.microsoft.com/office/spreadsheetml/2009/9/main" uri="{504A1905-F514-4f6f-8877-14C23A59335A}">
      <x14:table altTextSummary="這是一份活動、日期、時間、地點和連絡資訊的清單"/>
    </ext>
  </extLst>
</table>
</file>

<file path=xl/tables/table44.xml><?xml version="1.0" encoding="utf-8"?>
<table xmlns="http://schemas.openxmlformats.org/spreadsheetml/2006/main" id="14" name="預算" displayName="預算" ref="B6:F9" totalsRowCount="1" headerRowDxfId="12" dataDxfId="11" totalsRowDxfId="10">
  <autoFilter ref="B6:F8"/>
  <tableColumns count="5">
    <tableColumn id="1" name="項目" totalsRowLabel="合計" dataDxfId="9" totalsRowDxfId="8" dataCellStyle="表格詳細資料"/>
    <tableColumn id="2" name="說明" dataDxfId="7" totalsRowDxfId="6" dataCellStyle="表格詳細資料"/>
    <tableColumn id="3" name="費用" dataDxfId="5" totalsRowDxfId="4" dataCellStyle="金額"/>
    <tableColumn id="4" name="數量" dataDxfId="3" totalsRowDxfId="2" dataCellStyle="數量"/>
    <tableColumn id="5" name="金額" totalsRowFunction="sum" dataDxfId="1" totalsRowDxfId="0" dataCellStyle="金額">
      <calculatedColumnFormula>預算[[#This Row],[費用]]*預算[[#This Row],[數量]]</calculatedColumnFormula>
    </tableColumn>
  </tableColumns>
  <tableStyleInfo name="假期旅遊規劃工具" showFirstColumn="0" showLastColumn="0" showRowStripes="1" showColumnStripes="0"/>
  <extLst>
    <ext xmlns:x14="http://schemas.microsoft.com/office/spreadsheetml/2009/9/main" uri="{504A1905-F514-4f6f-8877-14C23A59335A}">
      <x14:table altTextSummary="輸入預算項目、說明、費用與數量。金額會自動計算"/>
    </ext>
  </extLst>
</table>
</file>

<file path=xl/theme/theme11.xml><?xml version="1.0" encoding="utf-8"?>
<a:theme xmlns:a="http://schemas.openxmlformats.org/drawingml/2006/main" name="Office Theme">
  <a:themeElements>
    <a:clrScheme name="Trip Planner">
      <a:dk1>
        <a:sysClr val="windowText" lastClr="000000"/>
      </a:dk1>
      <a:lt1>
        <a:sysClr val="window" lastClr="FFFFFF"/>
      </a:lt1>
      <a:dk2>
        <a:srgbClr val="3F3F3F"/>
      </a:dk2>
      <a:lt2>
        <a:srgbClr val="E1F6FF"/>
      </a:lt2>
      <a:accent1>
        <a:srgbClr val="D2E658"/>
      </a:accent1>
      <a:accent2>
        <a:srgbClr val="7AA3B0"/>
      </a:accent2>
      <a:accent3>
        <a:srgbClr val="F3D148"/>
      </a:accent3>
      <a:accent4>
        <a:srgbClr val="F1705F"/>
      </a:accent4>
      <a:accent5>
        <a:srgbClr val="87C4B7"/>
      </a:accent5>
      <a:accent6>
        <a:srgbClr val="917AB4"/>
      </a:accent6>
      <a:hlink>
        <a:srgbClr val="87C4B7"/>
      </a:hlink>
      <a:folHlink>
        <a:srgbClr val="917AB4"/>
      </a:folHlink>
    </a:clrScheme>
    <a:fontScheme name="Trip Planner">
      <a:majorFont>
        <a:latin typeface="Arial"/>
        <a:ea typeface=""/>
        <a:cs typeface=""/>
      </a:majorFont>
      <a:minorFont>
        <a:latin typeface="Times New Roman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&#65279;<?xml version="1.0" encoding="utf-8"?><Relationships xmlns="http://schemas.openxmlformats.org/package/2006/relationships"><Relationship Type="http://schemas.openxmlformats.org/officeDocument/2006/relationships/table" Target="/xl/tables/table13.xml" Id="rId2" /><Relationship Type="http://schemas.openxmlformats.org/officeDocument/2006/relationships/printerSettings" Target="/xl/printerSettings/printerSettings13.bin" Id="rId1" /></Relationships>
</file>

<file path=xl/worksheets/_rels/sheet22.xml.rels>&#65279;<?xml version="1.0" encoding="utf-8"?><Relationships xmlns="http://schemas.openxmlformats.org/package/2006/relationships"><Relationship Type="http://schemas.openxmlformats.org/officeDocument/2006/relationships/table" Target="/xl/tables/table22.xml" Id="rId2" /><Relationship Type="http://schemas.openxmlformats.org/officeDocument/2006/relationships/printerSettings" Target="/xl/printerSettings/printerSettings22.bin" Id="rId1" /></Relationships>
</file>

<file path=xl/worksheets/_rels/sheet31.xml.rels>&#65279;<?xml version="1.0" encoding="utf-8"?><Relationships xmlns="http://schemas.openxmlformats.org/package/2006/relationships"><Relationship Type="http://schemas.openxmlformats.org/officeDocument/2006/relationships/table" Target="/xl/tables/table31.xml" Id="rId2" /><Relationship Type="http://schemas.openxmlformats.org/officeDocument/2006/relationships/printerSettings" Target="/xl/printerSettings/printerSettings31.bin" Id="rId1" /></Relationships>
</file>

<file path=xl/worksheets/_rels/sheet44.xml.rels>&#65279;<?xml version="1.0" encoding="utf-8"?><Relationships xmlns="http://schemas.openxmlformats.org/package/2006/relationships"><Relationship Type="http://schemas.openxmlformats.org/officeDocument/2006/relationships/table" Target="/xl/tables/table44.xml" Id="rId2" /><Relationship Type="http://schemas.openxmlformats.org/officeDocument/2006/relationships/printerSettings" Target="/xl/printerSettings/printerSettings44.bin" Id="rId1" /></Relationships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-0.499984740745262"/>
    <pageSetUpPr autoPageBreaks="0" fitToPage="1"/>
  </sheetPr>
  <dimension ref="A1:I8"/>
  <sheetViews>
    <sheetView showGridLines="0" tabSelected="1" zoomScaleNormal="100" workbookViewId="0"/>
  </sheetViews>
  <sheetFormatPr defaultColWidth="9.28515625" defaultRowHeight="30" customHeight="1" x14ac:dyDescent="0.25"/>
  <cols>
    <col min="1" max="1" width="2.7109375" style="9" customWidth="1"/>
    <col min="2" max="2" width="22.28515625" style="9" customWidth="1"/>
    <col min="3" max="3" width="18.7109375" style="9" customWidth="1"/>
    <col min="4" max="4" width="18.7109375" style="16" customWidth="1"/>
    <col min="5" max="5" width="18.7109375" style="17" customWidth="1"/>
    <col min="6" max="8" width="18.7109375" style="12" customWidth="1"/>
    <col min="9" max="9" width="2.7109375" style="12" customWidth="1"/>
    <col min="10" max="16384" width="9.28515625" style="12"/>
  </cols>
  <sheetData>
    <row r="1" spans="1:9" s="5" customFormat="1" ht="30" customHeight="1" x14ac:dyDescent="0.25">
      <c r="A1" s="3"/>
      <c r="B1" s="2" t="s">
        <v>0</v>
      </c>
      <c r="C1" s="3"/>
      <c r="D1" s="4"/>
      <c r="E1" s="3"/>
      <c r="F1" s="3"/>
      <c r="G1" s="3"/>
      <c r="H1" s="3"/>
      <c r="I1" s="3"/>
    </row>
    <row r="2" spans="1:9" s="5" customFormat="1" ht="39.950000000000003" customHeight="1" x14ac:dyDescent="0.55000000000000004">
      <c r="A2" s="6"/>
      <c r="B2" s="6" t="s">
        <v>40</v>
      </c>
      <c r="C2" s="7"/>
      <c r="D2" s="8"/>
      <c r="E2" s="6"/>
      <c r="F2" s="6"/>
      <c r="G2" s="6"/>
      <c r="H2" s="7"/>
      <c r="I2" s="7"/>
    </row>
    <row r="3" spans="1:9" s="9" customFormat="1" ht="39.950000000000003" customHeight="1" x14ac:dyDescent="0.3">
      <c r="B3" s="10" t="s">
        <v>1</v>
      </c>
      <c r="D3" s="11"/>
    </row>
    <row r="4" spans="1:9" ht="35.1" customHeight="1" x14ac:dyDescent="0.25">
      <c r="B4" s="9" t="s">
        <v>1</v>
      </c>
      <c r="C4" s="9" t="s">
        <v>4</v>
      </c>
      <c r="D4" s="9" t="s">
        <v>5</v>
      </c>
      <c r="E4" s="9" t="s">
        <v>6</v>
      </c>
      <c r="F4" s="9" t="s">
        <v>7</v>
      </c>
      <c r="G4" s="9" t="s">
        <v>9</v>
      </c>
      <c r="H4" s="9" t="s">
        <v>13</v>
      </c>
    </row>
    <row r="5" spans="1:9" s="9" customFormat="1" ht="30" customHeight="1" x14ac:dyDescent="0.25">
      <c r="B5" s="13" t="s">
        <v>2</v>
      </c>
      <c r="C5" s="14">
        <f ca="1">TODAY()</f>
        <v>43123</v>
      </c>
      <c r="D5" s="15">
        <v>0.5625</v>
      </c>
      <c r="E5" s="13" t="s">
        <v>6</v>
      </c>
      <c r="F5" s="13">
        <v>1234</v>
      </c>
      <c r="G5" s="13" t="s">
        <v>10</v>
      </c>
      <c r="H5" s="13" t="s">
        <v>14</v>
      </c>
    </row>
    <row r="6" spans="1:9" s="9" customFormat="1" ht="30" customHeight="1" x14ac:dyDescent="0.25">
      <c r="B6" s="13" t="s">
        <v>2</v>
      </c>
      <c r="C6" s="14" t="s">
        <v>4</v>
      </c>
      <c r="D6" s="15" t="s">
        <v>5</v>
      </c>
      <c r="E6" s="13" t="s">
        <v>6</v>
      </c>
      <c r="F6" s="13" t="s">
        <v>8</v>
      </c>
      <c r="G6" s="13" t="s">
        <v>11</v>
      </c>
      <c r="H6" s="13" t="s">
        <v>11</v>
      </c>
    </row>
    <row r="7" spans="1:9" s="9" customFormat="1" ht="30" customHeight="1" x14ac:dyDescent="0.25">
      <c r="B7" s="13" t="s">
        <v>3</v>
      </c>
      <c r="C7" s="14">
        <f ca="1">TODAY()+1</f>
        <v>43124</v>
      </c>
      <c r="D7" s="15">
        <v>0.41666666666666669</v>
      </c>
      <c r="E7" s="13" t="s">
        <v>6</v>
      </c>
      <c r="F7" s="13">
        <v>2468</v>
      </c>
      <c r="G7" s="13" t="s">
        <v>12</v>
      </c>
      <c r="H7" s="13" t="s">
        <v>14</v>
      </c>
    </row>
    <row r="8" spans="1:9" ht="30" customHeight="1" x14ac:dyDescent="0.25">
      <c r="B8" s="13" t="s">
        <v>3</v>
      </c>
      <c r="C8" s="14" t="s">
        <v>4</v>
      </c>
      <c r="D8" s="15" t="s">
        <v>5</v>
      </c>
      <c r="E8" s="13" t="s">
        <v>6</v>
      </c>
      <c r="F8" s="13" t="s">
        <v>8</v>
      </c>
      <c r="G8" s="13" t="s">
        <v>11</v>
      </c>
      <c r="H8" s="13" t="s">
        <v>11</v>
      </c>
    </row>
  </sheetData>
  <dataConsolidate/>
  <phoneticPr fontId="7" type="noConversion"/>
  <dataValidations count="9">
    <dataValidation allowBlank="1" showInputMessage="1" showErrorMessage="1" prompt="旅遊行程表。輸入航班資訊，例如起飛和抵達詳細資料等" sqref="A1"/>
    <dataValidation allowBlank="1" showInputMessage="1" showErrorMessage="1" prompt="在此欄輸入日期" sqref="C4"/>
    <dataValidation allowBlank="1" showInputMessage="1" showErrorMessage="1" prompt="在此欄輸入時間" sqref="D4"/>
    <dataValidation allowBlank="1" showInputMessage="1" showErrorMessage="1" prompt="在此欄輸入航空公司" sqref="E4"/>
    <dataValidation allowBlank="1" showInputMessage="1" showErrorMessage="1" prompt="在此欄輸入航班編號" sqref="F4"/>
    <dataValidation allowBlank="1" showInputMessage="1" showErrorMessage="1" prompt="在此欄輸入出發地城市" sqref="G4"/>
    <dataValidation allowBlank="1" showInputMessage="1" showErrorMessage="1" prompt="在此欄輸入目的地城市" sqref="H4"/>
    <dataValidation allowBlank="1" showInputMessage="1" showErrorMessage="1" prompt="輸入每趟航班的起飛或抵達資訊" sqref="B4"/>
    <dataValidation allowBlank="1" showInputMessage="1" showErrorMessage="1" prompt="請輸入這個行程的名稱。這個名稱會自動更新至此活頁簿所有工作表的 B1 儲存格中" sqref="B1"/>
  </dataValidations>
  <printOptions horizontalCentered="1"/>
  <pageMargins left="0.7" right="0.7" top="0.75" bottom="0.75" header="0.3" footer="0.3"/>
  <pageSetup paperSize="9" fitToHeight="0" orientation="portrait" horizontalDpi="4294967293" r:id="rId1"/>
  <headerFooter differentFirst="1">
    <oddFooter>Page &amp;P of &amp;N</oddFooter>
  </headerFooter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499984740745262"/>
    <pageSetUpPr autoPageBreaks="0" fitToPage="1"/>
  </sheetPr>
  <dimension ref="A1:G6"/>
  <sheetViews>
    <sheetView showGridLines="0" zoomScaleNormal="100" workbookViewId="0"/>
  </sheetViews>
  <sheetFormatPr defaultColWidth="9.28515625" defaultRowHeight="30" customHeight="1" x14ac:dyDescent="0.25"/>
  <cols>
    <col min="1" max="1" width="2.7109375" style="9" customWidth="1"/>
    <col min="2" max="2" width="18.7109375" style="9" customWidth="1"/>
    <col min="3" max="3" width="30.7109375" style="9" customWidth="1"/>
    <col min="4" max="4" width="18.7109375" style="16" customWidth="1"/>
    <col min="5" max="5" width="18.7109375" style="17" customWidth="1"/>
    <col min="6" max="6" width="18.7109375" style="12" customWidth="1"/>
    <col min="7" max="7" width="2.7109375" style="12" customWidth="1"/>
    <col min="8" max="16384" width="9.28515625" style="12"/>
  </cols>
  <sheetData>
    <row r="1" spans="1:7" s="5" customFormat="1" ht="30" customHeight="1" x14ac:dyDescent="0.25">
      <c r="A1" s="3"/>
      <c r="B1" s="2" t="str">
        <f>行程名稱</f>
        <v>我的行程</v>
      </c>
      <c r="C1" s="3"/>
      <c r="D1" s="4"/>
      <c r="E1" s="3"/>
      <c r="F1" s="3"/>
      <c r="G1" s="3"/>
    </row>
    <row r="2" spans="1:7" s="5" customFormat="1" ht="39.950000000000003" customHeight="1" x14ac:dyDescent="0.25">
      <c r="A2" s="7"/>
      <c r="B2" s="27" t="s">
        <v>15</v>
      </c>
      <c r="C2" s="7"/>
      <c r="D2" s="18"/>
      <c r="E2" s="7"/>
      <c r="F2" s="7"/>
      <c r="G2" s="7"/>
    </row>
    <row r="3" spans="1:7" s="9" customFormat="1" ht="39.950000000000003" customHeight="1" x14ac:dyDescent="0.3">
      <c r="B3" s="10" t="s">
        <v>16</v>
      </c>
      <c r="D3" s="11"/>
    </row>
    <row r="4" spans="1:7" ht="35.1" customHeight="1" x14ac:dyDescent="0.25">
      <c r="B4" s="22" t="s">
        <v>17</v>
      </c>
      <c r="C4" s="9" t="s">
        <v>18</v>
      </c>
      <c r="D4" s="22" t="s">
        <v>20</v>
      </c>
      <c r="E4" s="22" t="s">
        <v>22</v>
      </c>
      <c r="F4" s="22" t="s">
        <v>41</v>
      </c>
    </row>
    <row r="5" spans="1:7" s="9" customFormat="1" ht="30" customHeight="1" x14ac:dyDescent="0.25">
      <c r="B5" s="14">
        <f ca="1">TODAY()+11</f>
        <v>43134</v>
      </c>
      <c r="C5" s="13" t="s">
        <v>19</v>
      </c>
      <c r="D5" s="28" t="s">
        <v>21</v>
      </c>
      <c r="E5" s="14">
        <f ca="1">TODAY()+14</f>
        <v>43137</v>
      </c>
      <c r="F5" s="13" t="s">
        <v>23</v>
      </c>
    </row>
    <row r="6" spans="1:7" s="9" customFormat="1" ht="30" customHeight="1" x14ac:dyDescent="0.25">
      <c r="B6" s="14" t="s">
        <v>4</v>
      </c>
      <c r="C6" s="13" t="s">
        <v>18</v>
      </c>
      <c r="D6" s="28" t="s">
        <v>20</v>
      </c>
      <c r="E6" s="14" t="s">
        <v>4</v>
      </c>
      <c r="F6" s="13" t="s">
        <v>8</v>
      </c>
    </row>
  </sheetData>
  <dataConsolidate/>
  <phoneticPr fontId="7" type="noConversion"/>
  <dataValidations count="8">
    <dataValidation allowBlank="1" showInputMessage="1" showErrorMessage="1" prompt="在此工作表中輸入住宿資訊" sqref="A1"/>
    <dataValidation allowBlank="1" showInputMessage="1" showErrorMessage="1" prompt="在此欄輸入入住日期" sqref="B4"/>
    <dataValidation allowBlank="1" showInputMessage="1" showErrorMessage="1" prompt="在此欄輸入地址" sqref="C4"/>
    <dataValidation allowBlank="1" showInputMessage="1" showErrorMessage="1" prompt="在此欄輸入電話" sqref="D4"/>
    <dataValidation allowBlank="1" showInputMessage="1" showErrorMessage="1" prompt="在此欄輸入退房日期" sqref="E4"/>
    <dataValidation allowBlank="1" showInputMessage="1" showErrorMessage="1" prompt="在此欄輸入確認編號" sqref="F4"/>
    <dataValidation allowBlank="1" showInputMessage="1" showErrorMessage="1" prompt="在此儲存格中輸入旅館名稱" sqref="B3"/>
    <dataValidation allowBlank="1" showInputMessage="1" showErrorMessage="1" prompt="此標題會從 [旅行] 工作表的 B1 自動更新" sqref="B1"/>
  </dataValidations>
  <printOptions horizontalCentered="1"/>
  <pageMargins left="0.7" right="0.7" top="0.75" bottom="0.75" header="0.3" footer="0.3"/>
  <pageSetup paperSize="9" fitToHeight="0" orientation="portrait" horizontalDpi="4294967293" r:id="rId1"/>
  <headerFooter differentFirst="1">
    <oddFooter>Page &amp;P of &amp;N</oddFooter>
  </headerFooter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499984740745262"/>
    <pageSetUpPr autoPageBreaks="0" fitToPage="1"/>
  </sheetPr>
  <dimension ref="A1:G6"/>
  <sheetViews>
    <sheetView showGridLines="0" zoomScaleNormal="100" workbookViewId="0"/>
  </sheetViews>
  <sheetFormatPr defaultColWidth="9.28515625" defaultRowHeight="30" customHeight="1" x14ac:dyDescent="0.25"/>
  <cols>
    <col min="1" max="1" width="2.7109375" style="9" customWidth="1"/>
    <col min="2" max="2" width="30.7109375" style="9" customWidth="1"/>
    <col min="3" max="3" width="18.7109375" style="9" customWidth="1"/>
    <col min="4" max="4" width="18.7109375" style="16" customWidth="1"/>
    <col min="5" max="5" width="18" style="17" customWidth="1"/>
    <col min="6" max="6" width="30.7109375" style="12" customWidth="1"/>
    <col min="7" max="7" width="2.7109375" style="12" customWidth="1"/>
    <col min="8" max="16384" width="9.28515625" style="12"/>
  </cols>
  <sheetData>
    <row r="1" spans="1:7" s="5" customFormat="1" ht="30" customHeight="1" x14ac:dyDescent="0.25">
      <c r="A1" s="3"/>
      <c r="B1" s="2" t="str">
        <f>行程名稱</f>
        <v>我的行程</v>
      </c>
      <c r="C1" s="3"/>
      <c r="D1" s="4"/>
      <c r="E1" s="3"/>
      <c r="F1" s="3"/>
      <c r="G1" s="3"/>
    </row>
    <row r="2" spans="1:7" s="5" customFormat="1" ht="39.950000000000003" customHeight="1" x14ac:dyDescent="0.25">
      <c r="A2" s="7"/>
      <c r="B2" s="27" t="s">
        <v>24</v>
      </c>
      <c r="C2" s="7"/>
      <c r="D2" s="18"/>
      <c r="E2" s="7"/>
      <c r="F2" s="7"/>
      <c r="G2" s="7"/>
    </row>
    <row r="3" spans="1:7" s="9" customFormat="1" ht="39.950000000000003" customHeight="1" x14ac:dyDescent="0.3">
      <c r="B3" s="10" t="s">
        <v>25</v>
      </c>
      <c r="D3" s="11"/>
    </row>
    <row r="4" spans="1:7" ht="35.1" customHeight="1" x14ac:dyDescent="0.25">
      <c r="B4" s="22" t="s">
        <v>24</v>
      </c>
      <c r="C4" s="9" t="s">
        <v>4</v>
      </c>
      <c r="D4" s="22" t="s">
        <v>5</v>
      </c>
      <c r="E4" s="22" t="s">
        <v>28</v>
      </c>
      <c r="F4" s="22" t="s">
        <v>29</v>
      </c>
    </row>
    <row r="5" spans="1:7" s="9" customFormat="1" ht="30" customHeight="1" x14ac:dyDescent="0.25">
      <c r="B5" s="13" t="s">
        <v>26</v>
      </c>
      <c r="C5" s="14">
        <f ca="1">TODAY()+11</f>
        <v>43134</v>
      </c>
      <c r="D5" s="15">
        <v>0.54166666666666663</v>
      </c>
      <c r="E5" s="13" t="s">
        <v>19</v>
      </c>
      <c r="F5" s="28" t="s">
        <v>21</v>
      </c>
    </row>
    <row r="6" spans="1:7" s="9" customFormat="1" ht="30" customHeight="1" x14ac:dyDescent="0.25">
      <c r="B6" s="13" t="s">
        <v>27</v>
      </c>
      <c r="C6" s="14" t="s">
        <v>4</v>
      </c>
      <c r="D6" s="15" t="s">
        <v>5</v>
      </c>
      <c r="E6" s="13" t="s">
        <v>18</v>
      </c>
      <c r="F6" s="28" t="s">
        <v>20</v>
      </c>
    </row>
  </sheetData>
  <phoneticPr fontId="7" type="noConversion"/>
  <dataValidations count="7">
    <dataValidation allowBlank="1" showInputMessage="1" showErrorMessage="1" prompt="使用此工作表來追蹤活動" sqref="A1"/>
    <dataValidation allowBlank="1" showInputMessage="1" showErrorMessage="1" prompt="在此欄輸入活動" sqref="B4"/>
    <dataValidation allowBlank="1" showInputMessage="1" showErrorMessage="1" prompt="在此欄輸入日期" sqref="C4"/>
    <dataValidation allowBlank="1" showInputMessage="1" showErrorMessage="1" prompt="在此欄輸入時間" sqref="D4"/>
    <dataValidation allowBlank="1" showInputMessage="1" showErrorMessage="1" prompt="在此欄輸入地點" sqref="E4"/>
    <dataValidation allowBlank="1" showInputMessage="1" showErrorMessage="1" prompt="在此欄輸入連絡資訊" sqref="F4"/>
    <dataValidation allowBlank="1" showInputMessage="1" showErrorMessage="1" prompt="此標題會從 [旅行] 工作表的 B1 自動更新" sqref="B1"/>
  </dataValidations>
  <printOptions horizontalCentered="1"/>
  <pageMargins left="0.7" right="0.7" top="0.75" bottom="0.75" header="0.3" footer="0.3"/>
  <pageSetup paperSize="9" fitToHeight="0" orientation="portrait" horizontalDpi="4294967293" r:id="rId1"/>
  <headerFooter differentFirst="1">
    <oddFooter>Page &amp;P of &amp;N</oddFooter>
  </headerFooter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-0.499984740745262"/>
    <pageSetUpPr autoPageBreaks="0" fitToPage="1"/>
  </sheetPr>
  <dimension ref="A1:G9"/>
  <sheetViews>
    <sheetView showGridLines="0" zoomScaleNormal="100" workbookViewId="0"/>
  </sheetViews>
  <sheetFormatPr defaultColWidth="9.28515625" defaultRowHeight="30" customHeight="1" x14ac:dyDescent="0.25"/>
  <cols>
    <col min="1" max="1" width="2.7109375" style="9" customWidth="1"/>
    <col min="2" max="3" width="30.7109375" style="9" customWidth="1"/>
    <col min="4" max="4" width="18.7109375" style="16" customWidth="1"/>
    <col min="5" max="5" width="18.7109375" style="17" customWidth="1"/>
    <col min="6" max="6" width="18.7109375" style="12" customWidth="1"/>
    <col min="7" max="7" width="2.7109375" style="12" customWidth="1"/>
    <col min="8" max="16384" width="9.28515625" style="12"/>
  </cols>
  <sheetData>
    <row r="1" spans="1:7" s="5" customFormat="1" ht="30" customHeight="1" x14ac:dyDescent="0.25">
      <c r="A1" s="3"/>
      <c r="B1" s="1" t="str">
        <f>行程名稱</f>
        <v>我的行程</v>
      </c>
      <c r="C1" s="3"/>
      <c r="D1" s="4"/>
      <c r="E1" s="3"/>
      <c r="F1" s="3"/>
      <c r="G1" s="3"/>
    </row>
    <row r="2" spans="1:7" s="5" customFormat="1" ht="39.950000000000003" customHeight="1" x14ac:dyDescent="0.25">
      <c r="A2" s="7"/>
      <c r="B2" s="7" t="s">
        <v>30</v>
      </c>
      <c r="C2" s="7"/>
      <c r="D2" s="18"/>
      <c r="E2" s="7"/>
      <c r="F2" s="7"/>
      <c r="G2" s="7"/>
    </row>
    <row r="3" spans="1:7" s="9" customFormat="1" ht="20.100000000000001" customHeight="1" x14ac:dyDescent="0.25">
      <c r="B3" s="19" t="s">
        <v>31</v>
      </c>
      <c r="C3" s="20">
        <v>500</v>
      </c>
    </row>
    <row r="4" spans="1:7" s="9" customFormat="1" ht="20.100000000000001" customHeight="1" x14ac:dyDescent="0.25">
      <c r="B4" s="19" t="s">
        <v>42</v>
      </c>
      <c r="C4" s="21">
        <f>IFERROR(預算[[#Totals],[金額]]/$C$3,0)</f>
        <v>0.2</v>
      </c>
    </row>
    <row r="5" spans="1:7" ht="39.950000000000003" customHeight="1" x14ac:dyDescent="0.3">
      <c r="B5" s="10" t="s">
        <v>30</v>
      </c>
      <c r="D5" s="9"/>
      <c r="E5" s="9"/>
      <c r="F5" s="9"/>
    </row>
    <row r="6" spans="1:7" ht="35.1" customHeight="1" x14ac:dyDescent="0.25">
      <c r="B6" s="9" t="s">
        <v>32</v>
      </c>
      <c r="C6" s="9" t="s">
        <v>34</v>
      </c>
      <c r="D6" s="22" t="s">
        <v>36</v>
      </c>
      <c r="E6" s="22" t="s">
        <v>37</v>
      </c>
      <c r="F6" s="22" t="s">
        <v>38</v>
      </c>
    </row>
    <row r="7" spans="1:7" ht="30" customHeight="1" x14ac:dyDescent="0.25">
      <c r="B7" s="13" t="s">
        <v>33</v>
      </c>
      <c r="C7" s="13" t="s">
        <v>35</v>
      </c>
      <c r="D7" s="23">
        <v>50</v>
      </c>
      <c r="E7" s="24">
        <v>2</v>
      </c>
      <c r="F7" s="23">
        <f>預算[[#This Row],[費用]]*預算[[#This Row],[數量]]</f>
        <v>100</v>
      </c>
    </row>
    <row r="8" spans="1:7" ht="30" customHeight="1" x14ac:dyDescent="0.25">
      <c r="B8" s="13" t="s">
        <v>33</v>
      </c>
      <c r="C8" s="13" t="s">
        <v>35</v>
      </c>
      <c r="D8" s="23"/>
      <c r="E8" s="24"/>
      <c r="F8" s="23">
        <f>預算[[#This Row],[費用]]*預算[[#This Row],[數量]]</f>
        <v>0</v>
      </c>
    </row>
    <row r="9" spans="1:7" ht="30" customHeight="1" x14ac:dyDescent="0.25">
      <c r="B9" s="9" t="s">
        <v>39</v>
      </c>
      <c r="D9" s="25"/>
      <c r="E9" s="9"/>
      <c r="F9" s="26">
        <f>SUBTOTAL(109,預算[金額])</f>
        <v>100</v>
      </c>
    </row>
  </sheetData>
  <phoneticPr fontId="7" type="noConversion"/>
  <conditionalFormatting sqref="C4">
    <cfRule type="dataBar" priority="1">
      <dataBar>
        <cfvo type="num" val="0"/>
        <cfvo type="num" val="1"/>
        <color theme="6"/>
      </dataBar>
      <extLst>
        <ext xmlns:x14="http://schemas.microsoft.com/office/spreadsheetml/2009/9/main" uri="{B025F937-C7B1-47D3-B67F-A62EFF666E3E}">
          <x14:id>{12EECF29-B559-4B1E-88DC-149F1C5BA71A}</x14:id>
        </ext>
      </extLst>
    </cfRule>
    <cfRule type="cellIs" dxfId="13" priority="2" operator="greaterThan">
      <formula>1</formula>
    </cfRule>
  </conditionalFormatting>
  <dataValidations count="9">
    <dataValidation allowBlank="1" showInputMessage="1" showErrorMessage="1" prompt="在此欄輸入預算項目" sqref="B6"/>
    <dataValidation allowBlank="1" showInputMessage="1" showErrorMessage="1" prompt="在此欄為每個項目輸入說明" sqref="C6"/>
    <dataValidation allowBlank="1" showInputMessage="1" showErrorMessage="1" prompt="在此欄為每個項目輸入費用" sqref="D6"/>
    <dataValidation allowBlank="1" showInputMessage="1" showErrorMessage="1" prompt="在此欄為每個預算項目輸入數量" sqref="E6"/>
    <dataValidation allowBlank="1" showInputMessage="1" showErrorMessage="1" prompt="此為自動計算結果欄" sqref="F6"/>
    <dataValidation allowBlank="1" showInputMessage="1" showErrorMessage="1" prompt="在此工作表中輸入旅行預算的明細" sqref="A1"/>
    <dataValidation allowBlank="1" showInputMessage="1" showErrorMessage="1" prompt="「已支出預算的 %」會根據預算金額與總支出自動計算" sqref="C4"/>
    <dataValidation allowBlank="1" showInputMessage="1" showErrorMessage="1" prompt="此標題會從 [旅行] 工作表的 B1 自動更新" sqref="B1"/>
    <dataValidation allowBlank="1" showInputMessage="1" showErrorMessage="1" prompt="在此儲存格中輸入預算金額" sqref="C3"/>
  </dataValidations>
  <printOptions horizontalCentered="1"/>
  <pageMargins left="0.7" right="0.7" top="0.75" bottom="0.75" header="0.3" footer="0.3"/>
  <pageSetup paperSize="9" fitToHeight="0" orientation="portrait" horizontalDpi="4294967293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EECF29-B559-4B1E-88DC-149F1C5BA7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C4</xm:sqref>
        </x14:conditionalFormatting>
      </x14:conditionalFormattings>
    </ext>
  </extLst>
</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TM16390965</ap:Template>
  <ap:DocSecurity>0</ap:DocSecurity>
  <ap:ScaleCrop>false</ap:ScaleCrop>
  <ap:HeadingPairs>
    <vt:vector baseType="variant" size="4">
      <vt:variant>
        <vt:lpstr>工作表</vt:lpstr>
      </vt:variant>
      <vt:variant>
        <vt:i4>4</vt:i4>
      </vt:variant>
      <vt:variant>
        <vt:lpstr>具名範圍</vt:lpstr>
      </vt:variant>
      <vt:variant>
        <vt:i4>9</vt:i4>
      </vt:variant>
    </vt:vector>
  </ap:HeadingPairs>
  <ap:TitlesOfParts>
    <vt:vector baseType="lpstr" size="13">
      <vt:lpstr>旅遊</vt:lpstr>
      <vt:lpstr>住宿</vt:lpstr>
      <vt:lpstr>活動</vt:lpstr>
      <vt:lpstr>預算</vt:lpstr>
      <vt:lpstr>住宿!Print_Titles</vt:lpstr>
      <vt:lpstr>活動!Print_Titles</vt:lpstr>
      <vt:lpstr>旅遊!Print_Titles</vt:lpstr>
      <vt:lpstr>預算!Print_Titles</vt:lpstr>
      <vt:lpstr>行程名稱</vt:lpstr>
      <vt:lpstr>欄標題1</vt:lpstr>
      <vt:lpstr>欄標題2</vt:lpstr>
      <vt:lpstr>欄標題3</vt:lpstr>
      <vt:lpstr>欄標題4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2016-09-22T18:54:55Z</dcterms:created>
  <dcterms:modified xsi:type="dcterms:W3CDTF">2018-01-23T11:44:17Z</dcterms:modified>
</cp:coreProperties>
</file>